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6a73ffac8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ce0b3876043499a"/>
    <x:sheet xmlns:r="http://schemas.openxmlformats.org/officeDocument/2006/relationships" name="设计决策" sheetId="2" r:id="Rfd27d1dfa4c14c9f"/>
    <x:sheet xmlns:r="http://schemas.openxmlformats.org/officeDocument/2006/relationships" name="家电清单" sheetId="3" r:id="R03320a601bf0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F6000"/>
      <x:name val="Carlito"/>
    </x:font>
    <x:font>
      <x:b/>
      <x:sz val="11"/>
      <x:color rgb="FF17324D"/>
      <x:name val="Carlito"/>
    </x:font>
    <x:font>
      <x:b/>
      <x:sz val="11"/>
      <x:color rgb="FF274E13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7F6000"/>
      <x:name val="Aptos"/>
    </x:font>
    <x:font>
      <x:b/>
      <x:sz val="11"/>
      <x:color rgb="FF17324D"/>
      <x:name val="Aptos"/>
    </x:font>
    <x:font>
      <x:b/>
      <x:sz val="11"/>
      <x:color rgb="FF274E13"/>
      <x:name val="Aptos"/>
    </x:font>
    <x:font>
      <x:sz val="10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7E6E6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AD3"/>
      </x:right>
      <x:bottom style="thin">
        <x:color rgb="FFD9EAD3"/>
      </x:bottom>
    </x:border>
    <x:border>
      <x:left style="thin">
        <x:color rgb="FFD9EAD3"/>
      </x:left>
      <x:bottom style="thin">
        <x:color rgb="FFD9EAD3"/>
      </x:bottom>
    </x:border>
    <x:border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EAD3"/>
      </x:left>
      <x:top style="thin">
        <x:color rgb="FFD9EAD3"/>
      </x:top>
      <x:bottom style="thin">
        <x:color rgb="FFD9EAD3"/>
      </x:bottom>
    </x:border>
    <x:border>
      <x:right style="thin">
        <x:color rgb="FFD9EAD3"/>
      </x:right>
      <x:top style="thin">
        <x:color rgb="FFD9EAD3"/>
      </x:top>
    </x:border>
    <x:border>
      <x:left style="thin">
        <x:color rgb="FFD9EAD3"/>
      </x:left>
      <x:top style="thin">
        <x:color rgb="FFD9EAD3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3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9e792234349ca" /><Relationship Type="http://schemas.openxmlformats.org/officeDocument/2006/relationships/theme" Target="/xl/theme/theme1.xml" Id="R26b24a123839479d" /><Relationship Type="http://schemas.openxmlformats.org/officeDocument/2006/relationships/sharedStrings" Target="/xl/sharedStrings.xml" Id="Rbf68c2f589f14b1a" /><Relationship Type="http://schemas.openxmlformats.org/officeDocument/2006/relationships/worksheet" Target="/xl/worksheets/sheet1.xml" Id="R6ce0b3876043499a" /><Relationship Type="http://schemas.openxmlformats.org/officeDocument/2006/relationships/worksheet" Target="/xl/worksheets/sheet2.xml" Id="Rfd27d1dfa4c14c9f" /><Relationship Type="http://schemas.openxmlformats.org/officeDocument/2006/relationships/worksheet" Target="/xl/worksheets/sheet3.xml" Id="R03320a601bf04dae" /></Relationships>
</file>

<file path=xl/tables/table1.xml><?xml version="1.0" encoding="utf-8"?>
<x:table xmlns:x="http://schemas.openxmlformats.org/spreadsheetml/2006/main" id="1" name="OwnerDecisionInputs" displayName="OwnerDecisionInputs" ref="A1:M22" headerRowCount="1" totalsRowCount="0" totalsRowShown="0">
  <x:tableColumns count="13">
    <x:tableColumn id="1" name="ID"/>
    <x:tableColumn id="2" name="专业"/>
    <x:tableColumn id="3" name="优先级"/>
    <x:tableColumn id="4" name="阻塞无保留发布"/>
    <x:tableColumn id="5" name="需要你确认"/>
    <x:tableColumn id="6" name="常见候选（不等于确认）"/>
    <x:tableColumn id="7" name="你的确认值"/>
    <x:tableColumn id="8" name="单位"/>
    <x:tableColumn id="9" name="状态"/>
    <x:tableColumn id="10" name="证据/链接"/>
    <x:tableColumn id="11" name="现有依据"/>
    <x:tableColumn id="12" name="同步目标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lianceInputs" displayName="ApplianceInputs" ref="A1:R19" headerRowCount="1" totalsRowCount="0" totalsRowShown="0">
  <x:tableColumns count="18">
    <x:tableColumn id="1" name="设备ID"/>
    <x:tableColumn id="2" name="设备名称"/>
    <x:tableColumn id="3" name="类别"/>
    <x:tableColumn id="4" name="候选存放位置"/>
    <x:tableColumn id="5" name="候选使用位置"/>
    <x:tableColumn id="6" name="确认存放位置"/>
    <x:tableColumn id="7" name="确认使用位置"/>
    <x:tableColumn id="8" name="数量"/>
    <x:tableColumn id="9" name="额定功率(W)"/>
    <x:tableColumn id="10" name="同时使用组"/>
    <x:tableColumn id="11" name="需给水"/>
    <x:tableColumn id="12" name="需排水"/>
    <x:tableColumn id="13" name="需燃气"/>
    <x:tableColumn id="14" name="需通风"/>
    <x:tableColumn id="15" name="型号"/>
    <x:tableColumn id="16" name="证据/链接"/>
    <x:tableColumn id="17" name="状态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0d0205b45f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cd8901f02847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25" t="str">
        <x:v>仁恒滨海湾｜施工输入清单</x:v>
      </x:c>
      <x:c r="B1" s="25"/>
      <x:c r="C1" s="25"/>
      <x:c r="D1" s="25"/>
      <x:c r="E1" s="25"/>
      <x:c r="F1" s="25"/>
      <x:c r="G1" s="25"/>
      <x:c r="H1" s="25"/>
    </x:row>
    <x:row r="2">
      <x:c r="A2" s="26"/>
      <x:c r="B2" s="26"/>
      <x:c r="C2" s="26"/>
      <x:c r="D2" s="26"/>
      <x:c r="E2" s="26"/>
      <x:c r="F2" s="26"/>
      <x:c r="G2" s="26"/>
      <x:c r="H2" s="26"/>
    </x:row>
    <x:row r="3" ht="34" customHeight="1">
      <x:c r="A3" s="27" t="str">
        <x:v>只填写黄色单元格。灰色候选值不是确认；如接受候选，请把状态改为“采用候选”。</x:v>
      </x:c>
      <x:c r="B3" s="27"/>
      <x:c r="C3" s="27"/>
      <x:c r="D3" s="27"/>
      <x:c r="E3" s="27"/>
      <x:c r="F3" s="27"/>
      <x:c r="G3" s="27"/>
      <x:c r="H3" s="27"/>
    </x:row>
    <x:row r="4">
      <x:c r="A4" s="26"/>
      <x:c r="B4" s="26"/>
      <x:c r="C4" s="26"/>
      <x:c r="D4" s="26"/>
      <x:c r="E4" s="26"/>
      <x:c r="F4" s="26"/>
      <x:c r="G4" s="26"/>
      <x:c r="H4" s="26"/>
    </x:row>
    <x:row r="5">
      <x:c r="A5" s="28" t="str">
        <x:v>填写步骤</x:v>
      </x:c>
      <x:c r="B5" s="29" t="str">
        <x:v>说明</x:v>
      </x:c>
      <x:c r="C5" s="26"/>
      <x:c r="D5" s="26"/>
      <x:c r="E5" s="26"/>
      <x:c r="F5" s="26"/>
      <x:c r="G5" s="26"/>
      <x:c r="H5" s="26"/>
    </x:row>
    <x:row r="6">
      <x:c r="A6" s="30" t="str">
        <x:v>1</x:v>
      </x:c>
      <x:c r="B6" s="31" t="str">
        <x:v>先完成“设计决策”中的 P0 行：填写你的确认值、状态和证据/链接。</x:v>
      </x:c>
      <x:c r="C6" s="26"/>
      <x:c r="D6" s="26"/>
      <x:c r="E6" s="26"/>
      <x:c r="F6" s="26"/>
      <x:c r="G6" s="26"/>
      <x:c r="H6" s="26"/>
    </x:row>
    <x:row r="7">
      <x:c r="A7" s="30" t="str">
        <x:v>2</x:v>
      </x:c>
      <x:c r="B7" s="31" t="str">
        <x:v>在“家电清单”中分别填写确认存放位置与确认使用位置，不要混为一列。</x:v>
      </x:c>
      <x:c r="C7" s="26"/>
      <x:c r="D7" s="26"/>
      <x:c r="E7" s="26"/>
      <x:c r="F7" s="26"/>
      <x:c r="G7" s="26"/>
      <x:c r="H7" s="26"/>
    </x:row>
    <x:row r="8">
      <x:c r="A8" s="30" t="str">
        <x:v>3</x:v>
      </x:c>
      <x:c r="B8" s="31" t="str">
        <x:v>填写型号与铭牌额定功率；脚本按“同时使用组”汇总已知连接负荷。</x:v>
      </x:c>
      <x:c r="C8" s="26"/>
      <x:c r="D8" s="26"/>
      <x:c r="E8" s="26"/>
      <x:c r="F8" s="26"/>
      <x:c r="G8" s="26"/>
      <x:c r="H8" s="26"/>
    </x:row>
    <x:row r="9">
      <x:c r="A9" s="30" t="str">
        <x:v>4</x:v>
      </x:c>
      <x:c r="B9" s="31" t="str">
        <x:v>保存工作簿后交回 Codex；先跑 dry-run，确认差异后再 apply。</x:v>
      </x:c>
      <x:c r="C9" s="26"/>
      <x:c r="D9" s="26"/>
      <x:c r="E9" s="26"/>
      <x:c r="F9" s="26"/>
      <x:c r="G9" s="26"/>
      <x:c r="H9" s="26"/>
    </x:row>
    <x:row r="10">
      <x:c r="A10" s="32" t="str">
        <x:v>5</x:v>
      </x:c>
      <x:c r="B10" s="33" t="str">
        <x:v>同步不会直接修改正式 IFC；IFC 仍按独立 save/reload/机械 QA 批次执行。</x:v>
      </x:c>
      <x:c r="C10" s="26"/>
      <x:c r="D10" s="26"/>
      <x:c r="E10" s="26"/>
      <x:c r="F10" s="26"/>
      <x:c r="G10" s="26"/>
      <x:c r="H10" s="26"/>
    </x:row>
    <x:row r="11">
      <x:c r="A11" s="26"/>
      <x:c r="B11" s="26"/>
      <x:c r="C11" s="26"/>
      <x:c r="D11" s="26"/>
      <x:c r="E11" s="26"/>
      <x:c r="F11" s="26"/>
      <x:c r="G11" s="26"/>
      <x:c r="H11" s="26"/>
    </x:row>
    <x:row r="12">
      <x:c r="A12" s="34" t="str">
        <x:v>实时汇总</x:v>
      </x:c>
      <x:c r="B12" s="35" t="str">
        <x:v>数量</x:v>
      </x:c>
      <x:c r="C12" s="26"/>
      <x:c r="D12" s="26"/>
      <x:c r="E12" s="26"/>
      <x:c r="F12" s="26"/>
      <x:c r="G12" s="26"/>
      <x:c r="H12" s="26"/>
    </x:row>
    <x:row r="13">
      <x:c r="A13" s="36" t="str">
        <x:v>设计决策总数</x:v>
      </x:c>
      <x:c r="B13" s="37" t="n">
        <x:f>COUNTA('设计决策'!A2:A22)</x:f>
        <x:v>21</x:v>
      </x:c>
      <x:c r="C13" s="26"/>
      <x:c r="D13" s="26"/>
      <x:c r="E13" s="26"/>
      <x:c r="F13" s="26"/>
      <x:c r="G13" s="26"/>
      <x:c r="H13" s="26"/>
    </x:row>
    <x:row r="14">
      <x:c r="A14" s="36" t="str">
        <x:v>仍阻塞无保留发布</x:v>
      </x:c>
      <x:c r="B14" s="37" t="n">
        <x:f>COUNTIFS('设计决策'!D2:D22,"yes",'设计决策'!I2:I22,"&lt;&gt;采用候选",'设计决策'!I2:I22,"&lt;&gt;自定义确认",'设计决策'!I2:I22,"&lt;&gt;不适用")</x:f>
        <x:v>18</x:v>
      </x:c>
      <x:c r="C14" s="26"/>
      <x:c r="D14" s="26"/>
      <x:c r="E14" s="26"/>
      <x:c r="F14" s="26"/>
      <x:c r="G14" s="26"/>
      <x:c r="H14" s="26"/>
    </x:row>
    <x:row r="15">
      <x:c r="A15" s="36" t="str">
        <x:v>家电条目总数</x:v>
      </x:c>
      <x:c r="B15" s="37" t="n">
        <x:f>COUNTA('家电清单'!A2:A19)</x:f>
        <x:v>18</x:v>
      </x:c>
      <x:c r="C15" s="26"/>
      <x:c r="D15" s="26"/>
      <x:c r="E15" s="26"/>
      <x:c r="F15" s="26"/>
      <x:c r="G15" s="26"/>
      <x:c r="H15" s="26"/>
    </x:row>
    <x:row r="16">
      <x:c r="A16" s="38" t="str">
        <x:v>家电已确认</x:v>
      </x:c>
      <x:c r="B16" s="39" t="n">
        <x:f>COUNTIF('家电清单'!Q2:Q19,"已确认")</x:f>
        <x:v>3</x:v>
      </x:c>
      <x:c r="C16" s="26"/>
      <x:c r="D16" s="26"/>
      <x:c r="E16" s="26"/>
      <x:c r="F16" s="26"/>
      <x:c r="G16" s="26"/>
      <x:c r="H16" s="26"/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10" hidden="0" customWidth="1"/>
    <x:col min="5" max="5" width="42" hidden="0" customWidth="1"/>
    <x:col min="6" max="6" width="48" hidden="0" customWidth="1"/>
    <x:col min="7" max="7" width="30" hidden="0" customWidth="1"/>
    <x:col min="8" max="8" width="10" hidden="0" customWidth="1"/>
    <x:col min="9" max="9" width="14" hidden="0" customWidth="1"/>
    <x:col min="10" max="10" width="30" hidden="0" customWidth="1"/>
    <x:col min="11" max="11" width="42" hidden="0" customWidth="1"/>
    <x:col min="12" max="12" width="24" hidden="0" customWidth="1"/>
    <x:col min="13" max="13" width="36" hidden="0" customWidth="1"/>
  </x:cols>
  <x:sheetData>
    <x:row r="1" ht="38" customHeight="1">
      <x:c r="A1" s="44" t="str">
        <x:v>ID</x:v>
      </x:c>
      <x:c r="B1" s="44" t="str">
        <x:v>专业</x:v>
      </x:c>
      <x:c r="C1" s="44" t="str">
        <x:v>优先级</x:v>
      </x:c>
      <x:c r="D1" s="44" t="str">
        <x:v>阻塞无保留发布</x:v>
      </x:c>
      <x:c r="E1" s="44" t="str">
        <x:v>需要你确认</x:v>
      </x:c>
      <x:c r="F1" s="44" t="str">
        <x:v>常见候选（不等于确认）</x:v>
      </x:c>
      <x:c r="G1" s="44" t="str">
        <x:v>你的确认值</x:v>
      </x:c>
      <x:c r="H1" s="44" t="str">
        <x:v>单位</x:v>
      </x:c>
      <x:c r="I1" s="44" t="str">
        <x:v>状态</x:v>
      </x:c>
      <x:c r="J1" s="44" t="str">
        <x:v>证据/链接</x:v>
      </x:c>
      <x:c r="K1" s="44" t="str">
        <x:v>现有依据</x:v>
      </x:c>
      <x:c r="L1" s="44" t="str">
        <x:v>同步目标</x:v>
      </x:c>
      <x:c r="M1" s="44" t="str">
        <x:v>备注</x:v>
      </x:c>
    </x:row>
    <x:row r="2" ht="54" customHeight="1">
      <x:c r="A2" s="40" t="str">
        <x:v>A104-M07-EVIDENCE</x:v>
      </x:c>
      <x:c r="B2" s="40" t="str">
        <x:v>A-104/E-302</x:v>
      </x:c>
      <x:c r="C2" s="40" t="str">
        <x:v>P0</x:v>
      </x:c>
      <x:c r="D2" s="40" t="str">
        <x:v>yes</x:v>
      </x:c>
      <x:c r="E2" s="47" t="str">
        <x:v>请提供主卧门 M07 的官方 CAD/门表/现场开门照片以确认合页侧和门后占墙</x:v>
      </x:c>
      <x:c r="F2" s="48" t="str">
        <x:v>Master A（门扇开启后贴墙侧）</x:v>
      </x:c>
      <x:c r="G2" s="49" t="str">
        <x:v>Master A</x:v>
      </x:c>
      <x:c r="H2" s="47"/>
      <x:c r="I2" s="49" t="str">
        <x:v>需证据</x:v>
      </x:c>
      <x:c r="J2" s="49" t="str">
        <x:v>https://s3.poliform.it/2025/04/Poliform_Architectural_2024.pdf
freestanding wardrobe and wall mounted Pivot
</x:v>
      </x:c>
      <x:c r="K2" s="47" t="str">
        <x:v>用户已确认 Master A 更符合实际开门贴墙关系；当前 IFC 无宿主洞口且 OperationType=NOTDEFINED</x:v>
      </x:c>
      <x:c r="L2" s="47" t="str">
        <x:v>A104-R03;E302-MASTER-SIDE</x:v>
      </x:c>
      <x:c r="M2" s="47" t="str">
        <x:v>候选侧已优选但施工点位未冻结</x:v>
      </x:c>
    </x:row>
    <x:row r="3" ht="54" customHeight="1">
      <x:c r="A3" s="40" t="str">
        <x:v>E302-ENTRY-SIDE</x:v>
      </x:c>
      <x:c r="B3" s="40" t="str">
        <x:v>E-302</x:v>
      </x:c>
      <x:c r="C3" s="40" t="str">
        <x:v>P0</x:v>
      </x:c>
      <x:c r="D3" s="40" t="str">
        <x:v>yes</x:v>
      </x:c>
      <x:c r="E3" s="47" t="str">
        <x:v>入户控制面板最终采用 Entry A 还是 Entry B</x:v>
      </x:c>
      <x:c r="F3" s="48" t="str">
        <x:v>Entry A（靠进入后顺手侧且避开门扇/门套）</x:v>
      </x:c>
      <x:c r="G3" s="49" t="str">
        <x:v>Entry A</x:v>
      </x:c>
      <x:c r="H3" s="47"/>
      <x:c r="I3" s="49" t="str">
        <x:v>待填写</x:v>
      </x:c>
      <x:c r="J3" s="49"/>
      <x:c r="K3" s="47" t="str">
        <x:v>门口控制应位于真实墙面并满足门扇和柜门操作</x:v>
      </x:c>
      <x:c r="L3" s="47" t="str">
        <x:v>E302 entry control</x:v>
      </x:c>
      <x:c r="M3" s="47" t="str">
        <x:v>需结合现场开门方向和门套净宽</x:v>
      </x:c>
    </x:row>
    <x:row r="4" ht="54" customHeight="1">
      <x:c r="A4" s="40" t="str">
        <x:v>E302-ENTRY-PANEL</x:v>
      </x:c>
      <x:c r="B4" s="40" t="str">
        <x:v>E-302</x:v>
      </x:c>
      <x:c r="C4" s="40" t="str">
        <x:v>P0</x:v>
      </x:c>
      <x:c r="D4" s="40" t="str">
        <x:v>yes</x:v>
      </x:c>
      <x:c r="E4" s="47" t="str">
        <x:v>入户面板包含哪些键以及采用一块还是分组面板</x:v>
      </x:c>
      <x:c r="F4" s="48" t="str">
        <x:v>客厅双控；书房双控；餐厅双控；照明总控，优先一体四位或相邻同高分组</x:v>
      </x:c>
      <x:c r="G4" s="49" t="str">
        <x:v>这款怎么样？matter 协议？那是什么？knx吗？可以安卓用吗？苹果手机是可以用倒是</x:v>
      </x:c>
      <x:c r="H4" s="47"/>
      <x:c r="I4" s="49" t="str">
        <x:v>待填写</x:v>
      </x:c>
      <x:c r="J4" s="49" t="str">
        <x:v>【淘宝】假一赔四 https://e.tb.cn/h.87aSpFYZgStgIgK?tk=DBrSTaSu8bF CZ057 「JINK Switch EGG智能墙壁开关场景EGG直连全屋智能家居Thread」
CSA JINK 8e: https://csa-iot.org/csa_product/jink-8e-switch-series-6/
Apple Matter: https://support.apple.com/en-ie/102135
Google Matter: https://support.google.com/googlehome/answer/12391458?hl=en
KNX position: https://knx.org/news/knx-and-matter-position-paper</x:v>
      </x:c>
      <x:c r="K4" s="47" t="str">
        <x:v>CSA 官方库确认 Longan Link 的 JINK 8e 系列存在 Matter 1.1、Thread + Bluetooth 认证；Apple 和 Google 官方均支持 Matter 多生态控制；KNX 官方将 Matter 视为可结合但不同的体系</x:v>
      </x:c>
      <x:c r="L4" s="47" t="str">
        <x:v>E302 entry panel</x:v>
      </x:c>
      <x:c r="M4" s="47" t="str">
        <x:v>Matter 不是 KNX；Android 与 Apple 均可通过相应 Matter 平台控制；Thread 设备需 Thread Border Router。淘宝 EGG 具体 SKU 尚未对应到 CSA Family SKU，且负载类型、零火线、面板模数和接线图未核实，不得选定</x:v>
      </x:c>
    </x:row>
    <x:row r="5" ht="54" customHeight="1">
      <x:c r="A5" s="40" t="str">
        <x:v>E302-MASTER-SIDE</x:v>
      </x:c>
      <x:c r="B5" s="40" t="str">
        <x:v>E-302</x:v>
      </x:c>
      <x:c r="C5" s="40" t="str">
        <x:v>P0</x:v>
      </x:c>
      <x:c r="D5" s="40" t="str">
        <x:v>yes</x:v>
      </x:c>
      <x:c r="E5" s="47" t="str">
        <x:v>主卧内 Master A 与主卧入口外 Master B 的真实墙侧分别在哪里</x:v>
      </x:c>
      <x:c r="F5" s="48" t="str">
        <x:v>Master A 位于主卧内门后贴墙侧并控制主卧氛围/重点照明；Master B 位于主卧入口外并控制客厅/书房/餐厅三组双控；两处均待 A-104 关闭真实墙侧</x:v>
      </x:c>
      <x:c r="G5" s="49" t="str">
        <x:v>Master A，控制主卧氛围照明和重点照明的按钮，在主卧内，不是控制外部客厅书房餐厅的
PS: 这款也不错，考虑到开关要安装到衣柜的见光板上</x:v>
      </x:c>
      <x:c r="H5" s="47"/>
      <x:c r="I5" s="49" t="str">
        <x:v>需证据</x:v>
      </x:c>
      <x:c r="J5" s="49" t="str">
        <x:v>【淘宝】假一赔四 https://e.tb.cn/h.87aqXDS1nDac9bu?tk=4YpQTa7crQs CZ005 「JINK Switch 2.5DNeo Matter墙壁开关欧规英规通用苹果玻璃开关」
点击链接直接打开 或者 淘宝搜索直接打开</x:v>
      </x:c>
      <x:c r="K5" s="47" t="str">
        <x:v>用户已明确 Master A 在主卧内、Master B 在主卧入口外，两者不是二选一；当前 IFC 的 M07 仍缺少可靠开启方向证据</x:v>
      </x:c>
      <x:c r="L5" s="47" t="str">
        <x:v>E302 master control;A104-R03</x:v>
      </x:c>
      <x:c r="M5" s="47" t="str">
        <x:v>A-104 取证后分别冻结两块面板墙侧、门套净距和见光板安装条件</x:v>
      </x:c>
    </x:row>
    <x:row r="6" ht="54" customHeight="1">
      <x:c r="A6" s="40" t="str">
        <x:v>E302-MASTER-PANEL</x:v>
      </x:c>
      <x:c r="B6" s="40" t="str">
        <x:v>E-302</x:v>
      </x:c>
      <x:c r="C6" s="40" t="str">
        <x:v>P0</x:v>
      </x:c>
      <x:c r="D6" s="40" t="str">
        <x:v>yes</x:v>
      </x:c>
      <x:c r="E6" s="47" t="str">
        <x:v>Master A 与 Master B 分别包含哪些键以及采用何种键序</x:v>
      </x:c>
      <x:c r="F6" s="48" t="str">
        <x:v>Master A：主卧氛围照明、主卧重点照明；Master B：客厅双控、书房双控、餐厅双控；常用键靠近门侧</x:v>
      </x:c>
      <x:c r="G6" s="49" t="str">
        <x:v>我转念一想客厅双控；书房双控；餐厅双控需要安装在Master B，是在主卧入口，但不在主卧空间</x:v>
      </x:c>
      <x:c r="H6" s="47"/>
      <x:c r="I6" s="49" t="str">
        <x:v>待填写</x:v>
      </x:c>
      <x:c r="J6" s="49"/>
      <x:c r="K6" s="47" t="str">
        <x:v>用户已明确主卧内照明控制与客厅/书房/餐厅三组双控分别由 Master A、Master B 承担</x:v>
      </x:c>
      <x:c r="L6" s="47" t="str">
        <x:v>E302 master panels</x:v>
      </x:c>
      <x:c r="M6" s="47" t="str">
        <x:v>面板底边候选为完成地面上 1300 mm；最终键序和产品模数仍待关闭</x:v>
      </x:c>
    </x:row>
    <x:row r="7" ht="54" customHeight="1">
      <x:c r="A7" s="40" t="str">
        <x:v>E303-NS01-FORM</x:v>
      </x:c>
      <x:c r="B7" s="40" t="str">
        <x:v>E-303</x:v>
      </x:c>
      <x:c r="C7" s="40" t="str">
        <x:v>P0</x:v>
      </x:c>
      <x:c r="D7" s="40" t="str">
        <x:v>yes</x:v>
      </x:c>
      <x:c r="E7" s="47" t="str">
        <x:v>岛台 NS-01 采用何种插座型式及安装面</x:v>
      </x:c>
      <x:c r="F7" s="48" t="str">
        <x:v>岛台 countertop 与桌面 overlap 下方的三个面各设 1 个隐藏盖板式插座位；银色五孔滑盖产品为选型方向；最终按 VVD 详图确认开孔和安装面</x:v>
      </x:c>
      <x:c r="G7" s="49" t="str">
        <x:v>VVD岛台下方就有插座位，在countertop与桌面overlap的位置下方，默认是隐藏面板式的插座。三个面每个面各一个</x:v>
      </x:c>
      <x:c r="H7" s="47"/>
      <x:c r="I7" s="49" t="str">
        <x:v>采用候选</x:v>
      </x:c>
      <x:c r="J7" s="49" t="str">
        <x:v>/Users/jiaxinchen/Downloads/Deco DL/Molteni&amp;C/VVD/dwg-2d-vvd-showroom-drawing.dwg
【淘宝】大促价保 https://e.tb.cn/h.87ZCCiBFxejNblD?tk=1aPCTai8okP CA381 「施耐德官方旗舰店滑盖式地插五孔插座面板家用地板六类电脑插座」
点击链接直接打开 或者 淘宝搜索直接打开
选用银色5孔地插，这样有个盖子美观</x:v>
      </x:c>
      <x:c r="K7" s="47" t="str">
        <x:v>用户在 Google Sheet 明确 VVD 岛台下方已有插座位且三个面每面各一个；脚本区分全部列出设备连接包络 2.6–4.9kW 与火锅加搅拌机或 sous-vide 同时包络 1.8–3.7kW</x:v>
      </x:c>
      <x:c r="L7" s="47" t="str">
        <x:v>E303 NS-01</x:v>
      </x:c>
      <x:c r="M7" s="47" t="str">
        <x:v>最终由家电表额定功率和同时使用组计算</x:v>
      </x:c>
    </x:row>
    <x:row r="8" ht="54" customHeight="1">
      <x:c r="A8" s="40" t="str">
        <x:v>E303-NS01-CIRCUIT</x:v>
      </x:c>
      <x:c r="B8" s="40" t="str">
        <x:v>E-303</x:v>
      </x:c>
      <x:c r="C8" s="40" t="str">
        <x:v>P0</x:v>
      </x:c>
      <x:c r="D8" s="40" t="str">
        <x:v>yes</x:v>
      </x:c>
      <x:c r="E8" s="47" t="str">
        <x:v>岛台移动厨电是否允许同时使用</x:v>
      </x:c>
      <x:c r="F8" s="48" t="str">
        <x:v>按用户确认的火锅加一件小厨电同时使用核算；2 个独立插座回路作为容量候选并将火锅与其余移动厨电分开；最终按铭牌复核</x:v>
      </x:c>
      <x:c r="G8" s="49" t="str">
        <x:v>同意按火锅与一件小厨电可能同时使用；</x:v>
      </x:c>
      <x:c r="H8" s="47"/>
      <x:c r="I8" s="49" t="str">
        <x:v>采用候选</x:v>
      </x:c>
      <x:c r="J8" s="49"/>
      <x:c r="K8" s="47" t="str">
        <x:v>同时使用包络约 1.8–3.7kW；上限略高于单个 220V/16A-class 插座规划容量；不据此自动确定线径、保护器或 RCD</x:v>
      </x:c>
      <x:c r="L8" s="47" t="str">
        <x:v>E303 NS-01 load</x:v>
      </x:c>
      <x:c r="M8" s="47" t="str">
        <x:v>脚本只汇总负荷不自动确定保护器规格</x:v>
      </x:c>
    </x:row>
    <x:row r="9" ht="54" customHeight="1">
      <x:c r="A9" s="40" t="str">
        <x:v>E303-NS02-FORM</x:v>
      </x:c>
      <x:c r="B9" s="40" t="str">
        <x:v>E-303</x:v>
      </x:c>
      <x:c r="C9" s="40" t="str">
        <x:v>P0</x:v>
      </x:c>
      <x:c r="D9" s="40" t="str">
        <x:v>yes</x:v>
      </x:c>
      <x:c r="E9" s="47" t="str">
        <x:v>餐边柜 NS-02 插座数量与安装型式</x:v>
      </x:c>
      <x:c r="F9" s="48" t="str">
        <x:v>极简线性轨道插座或自制隐藏翻盖作为两种选型方向；至少满足咖啡机、手冲壶和磨豆机三个连接需求；最终按餐边柜立面关闭</x:v>
      </x:c>
      <x:c r="G9" s="49" t="str">
        <x:v>要么是这种极简的线性插座，要么是自制翻盖</x:v>
      </x:c>
      <x:c r="H9" s="47"/>
      <x:c r="I9" s="49" t="str">
        <x:v>待填写</x:v>
      </x:c>
      <x:c r="J9" s="49" t="str">
        <x:v>【淘宝】7天无理由退货 https://e.tb.cn/h.870VzbZFjDRIqEn?tk=ySVHTair9B8 CZ001 「XPOWER滑轨插座线性导轨道插排厨房超薄隐藏式隐形内嵌入式多功能」</x:v>
      </x:c>
      <x:c r="K9" s="47" t="str">
        <x:v>用户在 Google Sheet 明确要么极简线性插座要么自制翻盖；实际使用场景为咖啡机/手冲壶/磨豆机；全部列出设备连接包络 2.35–4.0kW</x:v>
      </x:c>
      <x:c r="L9" s="47" t="str">
        <x:v>E303 NS-02</x:v>
      </x:c>
      <x:c r="M9" s="47" t="str">
        <x:v>需结合餐边柜立面和线缆遮挡</x:v>
      </x:c>
    </x:row>
    <x:row r="10" ht="54" customHeight="1">
      <x:c r="A10" s="40" t="str">
        <x:v>E303-NS02-CIRCUIT</x:v>
      </x:c>
      <x:c r="B10" s="40" t="str">
        <x:v>E-303</x:v>
      </x:c>
      <x:c r="C10" s="40" t="str">
        <x:v>P0</x:v>
      </x:c>
      <x:c r="D10" s="40" t="str">
        <x:v>yes</x:v>
      </x:c>
      <x:c r="E10" s="47" t="str">
        <x:v>咖啡机与电热水壶是否会同时使用</x:v>
      </x:c>
      <x:c r="F10" s="48" t="str">
        <x:v>按用户确认咖啡机与手冲壶不会同时使用核算；磨豆机可与咖啡机同用；1 个回路作为容量候选；最终按产品铭牌复核</x:v>
      </x:c>
      <x:c r="G10" s="49" t="str">
        <x:v>不会，咖啡机是喝拿铁的。手冲壶是喝pour over的</x:v>
      </x:c>
      <x:c r="H10" s="47"/>
      <x:c r="I10" s="49" t="str">
        <x:v>采用候选</x:v>
      </x:c>
      <x:c r="J10" s="49" t="str">
        <x:v>hario手冲壶都行1200W
咖啡机是lamarzocco 推荐GS3。或者黑鹰Victoria Arduino</x:v>
      </x:c>
      <x:c r="K10" s="47" t="str">
        <x:v>同时使用包络约 1.0–2.2kW；低于单个 220V/16A-class 插座规划容量；不据此自动确定线径、保护器或 RCD</x:v>
      </x:c>
      <x:c r="L10" s="47" t="str">
        <x:v>E303 NS-02 load</x:v>
      </x:c>
      <x:c r="M10" s="47" t="str">
        <x:v>脚本只汇总负荷不虚构产品功率</x:v>
      </x:c>
    </x:row>
    <x:row r="11" ht="54" customHeight="1">
      <x:c r="A11" s="40" t="str">
        <x:v>E304-GATEWAY-IDENTITY</x:v>
      </x:c>
      <x:c r="B11" s="40" t="str">
        <x:v>E-304</x:v>
      </x:c>
      <x:c r="C11" s="40" t="str">
        <x:v>P0</x:v>
      </x:c>
      <x:c r="D11" s="40" t="str">
        <x:v>yes</x:v>
      </x:c>
      <x:c r="E11" s="47" t="str">
        <x:v>弱电箱内 Huawei 设备的准确型号与功能是什么</x:v>
      </x:c>
      <x:c r="F11" s="48" t="str">
        <x:v>拍摄设备底部铭牌；分别确认光猫/路由器/AP/运营商网关角色</x:v>
      </x:c>
      <x:c r="G11" s="49" t="str">
        <x:v>这个无所谓的，我自己买个能塞进去的就行。现在是V175+卧室的K155。我肯定要根据AP来决定买哪款</x:v>
      </x:c>
      <x:c r="H11" s="47"/>
      <x:c r="I11" s="49" t="str">
        <x:v>需证据</x:v>
      </x:c>
      <x:c r="J11" s="49" t="str">
        <x:v>【淘宝】7天无理由退货 https://e.tb.cn/h.870CJ6ZBs0WvR2W?tk=v0vCTaRQytp HU926 「华为FTTR全光组网青春版V175/K155/K155-11智能组网WIFI6+3000M」
点击链接直接打开 或者 淘宝搜索直接打开</x:v>
      </x:c>
      <x:c r="K11" s="47" t="str">
        <x:v>现场照片只证明现有 Huawei 联通智家设备在箱内运行</x:v>
      </x:c>
      <x:c r="L11" s="47" t="str">
        <x:v>E304 equipment register</x:v>
      </x:c>
      <x:c r="M11" s="47" t="str">
        <x:v>未取证前不得锁定网络功能</x:v>
      </x:c>
    </x:row>
    <x:row r="12" ht="54" customHeight="1">
      <x:c r="A12" s="40" t="str">
        <x:v>E304-CABINET-DIMENSIONS</x:v>
      </x:c>
      <x:c r="B12" s="40" t="str">
        <x:v>E-304</x:v>
      </x:c>
      <x:c r="C12" s="40" t="str">
        <x:v>P0</x:v>
      </x:c>
      <x:c r="D12" s="40" t="str">
        <x:v>yes</x:v>
      </x:c>
      <x:c r="E12" s="47" t="str">
        <x:v>请填写弱电箱和所在柜格的净宽×净高×净深</x:v>
      </x:c>
      <x:c r="F12" s="48" t="str">
        <x:v>现场实测三向净尺寸</x:v>
      </x:c>
      <x:c r="G12" s="49" t="str">
        <x:v>深110x长350x高260，离入户墙：45+400+80=525m</x:v>
      </x:c>
      <x:c r="H12" s="47" t="str">
        <x:v>mm</x:v>
      </x:c>
      <x:c r="I12" s="49" t="str">
        <x:v>待填写</x:v>
      </x:c>
      <x:c r="J12" s="49" t="str">
        <x:v>https://app.notion.com/p/weihanshen/3b9fda08ab6c805bbc4bef80fa997bc4?source=copy_link</x:v>
      </x:c>
      <x:c r="K12" s="47" t="str">
        <x:v>官方 CAD 和现场照片已确认位置但没有净尺寸</x:v>
      </x:c>
      <x:c r="L12" s="47" t="str">
        <x:v>E304 cabinet</x:v>
      </x:c>
      <x:c r="M12" s="47" t="str">
        <x:v>同时记录柜门关闭后的可用空间</x:v>
      </x:c>
    </x:row>
    <x:row r="13" ht="54" customHeight="1">
      <x:c r="A13" s="40" t="str">
        <x:v>E304-CABINET-VENTILATION</x:v>
      </x:c>
      <x:c r="B13" s="40" t="str">
        <x:v>E-304</x:v>
      </x:c>
      <x:c r="C13" s="40" t="str">
        <x:v>P0</x:v>
      </x:c>
      <x:c r="D13" s="40" t="str">
        <x:v>yes</x:v>
      </x:c>
      <x:c r="E13" s="47" t="str">
        <x:v>柜门关闭时是否有通风孔/缝及设备持续运行温升</x:v>
      </x:c>
      <x:c r="F13" s="48" t="str">
        <x:v>关闭柜门运行 2 小时后记录箱内或设备表面温度；拍摄通风条件</x:v>
      </x:c>
      <x:c r="G13" s="49" t="str">
        <x:v>弱电箱盖板上有通风孔，温度摸起来正常，30-40度</x:v>
      </x:c>
      <x:c r="H13" s="47" t="str">
        <x:v>°C</x:v>
      </x:c>
      <x:c r="I13" s="49" t="str">
        <x:v>待填写</x:v>
      </x:c>
      <x:c r="J13" s="49"/>
      <x:c r="K13" s="47" t="str">
        <x:v>现有设备实际在弱电箱内部运行</x:v>
      </x:c>
      <x:c r="L13" s="47" t="str">
        <x:v>E304 thermal review</x:v>
      </x:c>
      <x:c r="M13" s="47" t="str">
        <x:v>温升不合格时再评估移至非金属通风层板</x:v>
      </x:c>
    </x:row>
    <x:row r="14" ht="54" customHeight="1">
      <x:c r="A14" s="40" t="str">
        <x:v>E304-CABLE-CONTINUITY</x:v>
      </x:c>
      <x:c r="B14" s="40" t="str">
        <x:v>E-304</x:v>
      </x:c>
      <x:c r="C14" s="40" t="str">
        <x:v>P0</x:v>
      </x:c>
      <x:c r="D14" s="40" t="str">
        <x:v>yes</x:v>
      </x:c>
      <x:c r="E14" s="47" t="str">
        <x:v>三根橙色网线分别通往哪个房间/面板</x:v>
      </x:c>
      <x:c r="F14" s="48" t="str">
        <x:v>逐根用测线仪确认客厅/次卧/主卧并记录两端标签</x:v>
      </x:c>
      <x:c r="G14" s="49" t="str">
        <x:v>主卧次卧客厅（旋转180度查看图片）</x:v>
      </x:c>
      <x:c r="H14" s="47"/>
      <x:c r="I14" s="49" t="str">
        <x:v>待填写</x:v>
      </x:c>
      <x:c r="J14" s="49"/>
      <x:c r="K14" s="47" t="str">
        <x:v>照片标签只是候选不能替代通断测试</x:v>
      </x:c>
      <x:c r="L14" s="47" t="str">
        <x:v>E304 port map</x:v>
      </x:c>
      <x:c r="M14" s="47" t="str">
        <x:v>允许增加其他实测线缆行到证据备注</x:v>
      </x:c>
    </x:row>
    <x:row r="15" ht="54" customHeight="1">
      <x:c r="A15" s="40" t="str">
        <x:v>E304-AP-POWER</x:v>
      </x:c>
      <x:c r="B15" s="40" t="str">
        <x:v>E-304</x:v>
      </x:c>
      <x:c r="C15" s="40" t="str">
        <x:v>P0</x:v>
      </x:c>
      <x:c r="D15" s="40" t="str">
        <x:v>yes</x:v>
      </x:c>
      <x:c r="E15" s="47" t="str">
        <x:v>主卧和次卧 AP 采用 PoE 还是本地电源</x:v>
      </x:c>
      <x:c r="F15" s="48" t="str">
        <x:v>按最终 AP 型号二选一：PoE 时弱电箱配置兼容供电端口并校核功率预算；本地电源时在隐蔽吊顶检修范围内预留可维护电源</x:v>
      </x:c>
      <x:c r="G15" s="49" t="str">
        <x:v>我不知道，PoE是什么意思。目前的K155是有电源的。我们要隐蔽安装，天花内估计要预留电源</x:v>
      </x:c>
      <x:c r="H15" s="47"/>
      <x:c r="I15" s="49" t="str">
        <x:v>待填写</x:v>
      </x:c>
      <x:c r="J15" s="49"/>
      <x:c r="K15" s="47" t="str">
        <x:v>用户说明现有 K155 使用本地电源；卧室 AP 点位已有平面/标高候选但最终设备和供电方式未关闭</x:v>
      </x:c>
      <x:c r="L15" s="47" t="str">
        <x:v>E304 AP topology</x:v>
      </x:c>
      <x:c r="M15" s="47" t="str">
        <x:v>不得在 AP 型号确定前把 PoE 或本地电源写成最终方案</x:v>
      </x:c>
    </x:row>
    <x:row r="16" ht="54" customHeight="1">
      <x:c r="A16" s="40" t="str">
        <x:v>A106-FIRE-TYPE</x:v>
      </x:c>
      <x:c r="B16" s="40" t="str">
        <x:v>A-106</x:v>
      </x:c>
      <x:c r="C16" s="40" t="str">
        <x:v>P0</x:v>
      </x:c>
      <x:c r="D16" s="40" t="str">
        <x:v>yes</x:v>
      </x:c>
      <x:c r="E16" s="47" t="str">
        <x:v>厨房已确认点位最终采用感温/感烟/复合探测器及产品</x:v>
      </x:c>
      <x:c r="F16" s="48" t="str">
        <x:v>厨房油烟环境下感温优先作为协调候选；最终由消防/设备方确认</x:v>
      </x:c>
      <x:c r="G16" s="49" t="str">
        <x:v>泛海三江温感JTW-ZD-920A20复合式感烟感温火灾探测器</x:v>
      </x:c>
      <x:c r="H16" s="47"/>
      <x:c r="I16" s="49" t="str">
        <x:v>需证据</x:v>
      </x:c>
      <x:c r="J16" s="49" t="str">
        <x:v>A106-FIRE-OFFICIAL-001;A106-FIRE-OFFICIAL-002;A106-FIRE-OFFICIAL-003</x:v>
      </x:c>
      <x:c r="K16" s="47" t="str">
        <x:v>厂家官方资料分别证明 JTW-ZD-A20 与 JTW-ZD-920E 是感温型，复合式使用独立型号 JTF-GDM-936；用户文本无法匹配为一个官方产品</x:v>
      </x:c>
      <x:c r="L16" s="47" t="str">
        <x:v>A106-FIRE-R04</x:v>
      </x:c>
      <x:c r="M16" s="47" t="str">
        <x:v>正式 IFC 只保留已确认 IfcSensor/FIRESENSOR 点位；不得把拼接型号、复合身份或候选尺寸写成正式产品</x:v>
      </x:c>
    </x:row>
    <x:row r="17" ht="54" customHeight="1">
      <x:c r="A17" s="40" t="str">
        <x:v>A106-GAS-ALARM</x:v>
      </x:c>
      <x:c r="B17" s="40" t="str">
        <x:v>A-106</x:v>
      </x:c>
      <x:c r="C17" s="40" t="str">
        <x:v>P1</x:v>
      </x:c>
      <x:c r="D17" s="40" t="str">
        <x:v>yes</x:v>
      </x:c>
      <x:c r="E17" s="47" t="str">
        <x:v>燃气报警器型号/供电/通信/燃气公司安装条件</x:v>
      </x:c>
      <x:c r="F17" s="48" t="str">
        <x:v>先向燃气公司确认允许型号与距灶具/阀门/顶棚要求</x:v>
      </x:c>
      <x:c r="G17" s="49" t="str">
        <x:v>燃气报警器JT-GS838C-NBAC-H05移动</x:v>
      </x:c>
      <x:c r="H17" s="47"/>
      <x:c r="I17" s="49" t="str">
        <x:v>需证据</x:v>
      </x:c>
      <x:c r="J17" s="49" t="str">
        <x:v>A106-GAS-OFFICIAL-001</x:v>
      </x:c>
      <x:c r="K17" s="47" t="str">
        <x:v>厂家官方页面只证明 JT-GS838 系列的家用甲烷探测器属性；未匹配精确后缀 C-NBAC-H05 及其当前认证</x:v>
      </x:c>
      <x:c r="L17" s="47" t="str">
        <x:v>A106 gas alarm</x:v>
      </x:c>
      <x:c r="M17" s="47" t="str">
        <x:v>精确型号、燃气公司准入、施工距离和官方说明书关闭前不得锁定开孔或供电通信方案</x:v>
      </x:c>
    </x:row>
    <x:row r="18" ht="54" customHeight="1">
      <x:c r="A18" s="40" t="str">
        <x:v>WFIN-WHITE-SYSTEM</x:v>
      </x:c>
      <x:c r="B18" s="40" t="str">
        <x:v>WFIN/DET1</x:v>
      </x:c>
      <x:c r="C18" s="40" t="str">
        <x:v>P1</x:v>
      </x:c>
      <x:c r="D18" s="40" t="str">
        <x:v>yes</x:v>
      </x:c>
      <x:c r="E18" s="47" t="str">
        <x:v>大白墙最终涂料体系/色号/光泽/完成面总厚</x:v>
      </x:c>
      <x:c r="F18" s="48" t="str">
        <x:v>耐擦洗哑光乳胶漆体系作为比较候选，不代表选定产品</x:v>
      </x:c>
      <x:c r="G18" s="49" t="str">
        <x:v>谢柯大白墙，全生堂，1mm?</x:v>
      </x:c>
      <x:c r="H18" s="47" t="str">
        <x:v>mm</x:v>
      </x:c>
      <x:c r="I18" s="49" t="str">
        <x:v>暂缓</x:v>
      </x:c>
      <x:c r="J18" s="49"/>
      <x:c r="K18" s="47" t="str">
        <x:v>用户要求统一选材时处理</x:v>
      </x:c>
      <x:c r="L18" s="47" t="str">
        <x:v>WFIN-R03</x:v>
      </x:c>
      <x:c r="M18" s="47" t="str">
        <x:v>选择前保持当前大白墙意图</x:v>
      </x:c>
    </x:row>
    <x:row r="19" ht="54" customHeight="1">
      <x:c r="A19" s="40" t="str">
        <x:v>WFIN-TADELAKT</x:v>
      </x:c>
      <x:c r="B19" s="40" t="str">
        <x:v>WFIN/DET1</x:v>
      </x:c>
      <x:c r="C19" s="40" t="str">
        <x:v>P1</x:v>
      </x:c>
      <x:c r="D19" s="40" t="str">
        <x:v>yes</x:v>
      </x:c>
      <x:c r="E19" s="47" t="str">
        <x:v>Tadelakt 最终产品系统/颜色/厚度/基层/湿区防水收口</x:v>
      </x:c>
      <x:c r="F19" s="48" t="str">
        <x:v>以完整厂家系统和湿区节点样板为选择条件</x:v>
      </x:c>
      <x:c r="G19" s="49" t="str">
        <x:v>https://www.modamuri.com/sqztdl.html</x:v>
      </x:c>
      <x:c r="H19" s="47" t="str">
        <x:v>mm</x:v>
      </x:c>
      <x:c r="I19" s="49" t="str">
        <x:v>暂缓</x:v>
      </x:c>
      <x:c r="J19" s="49"/>
      <x:c r="K19" s="47" t="str">
        <x:v>当前仅确认材料意图未确认产品体系</x:v>
      </x:c>
      <x:c r="L19" s="47" t="str">
        <x:v>WFIN-R02</x:v>
      </x:c>
      <x:c r="M19" s="47" t="str">
        <x:v>不得仅凭效果图替代施工参数</x:v>
      </x:c>
    </x:row>
    <x:row r="20" ht="54" customHeight="1">
      <x:c r="A20" s="40" t="str">
        <x:v>RCP1-HVAC-PORTS</x:v>
      </x:c>
      <x:c r="B20" s="40" t="str">
        <x:v>RCP1</x:v>
      </x:c>
      <x:c r="C20" s="40" t="str">
        <x:v>P0</x:v>
      </x:c>
      <x:c r="D20" s="40" t="str">
        <x:v>yes</x:v>
      </x:c>
      <x:c r="E20" s="47" t="str">
        <x:v>请提供各空调型号的送回风口/冷媒气液管/冷凝水口坐标与方向</x:v>
      </x:c>
      <x:c r="F20" s="48" t="str">
        <x:v>厂家安装图或 BIM/DWG 接口图</x:v>
      </x:c>
      <x:c r="G20" s="49" t="str">
        <x:v>你表里没给我型号</x:v>
      </x:c>
      <x:c r="H20" s="47"/>
      <x:c r="I20" s="49" t="str">
        <x:v>待填写</x:v>
      </x:c>
      <x:c r="J20" s="49"/>
      <x:c r="K20" s="47" t="str">
        <x:v>机位和路线骨架已确认但精确端口坐标尚无批准证据</x:v>
      </x:c>
      <x:c r="L20" s="47" t="str">
        <x:v>RCP1C interfaces</x:v>
      </x:c>
      <x:c r="M20" s="47" t="str">
        <x:v>缺资料时只保留路线预览</x:v>
      </x:c>
    </x:row>
    <x:row r="21" ht="54" customHeight="1">
      <x:c r="A21" s="40" t="str">
        <x:v>PLUM-ROUGHINS</x:v>
      </x:c>
      <x:c r="B21" s="40" t="str">
        <x:v>PLUM/INT1</x:v>
      </x:c>
      <x:c r="C21" s="40" t="str">
        <x:v>P0</x:v>
      </x:c>
      <x:c r="D21" s="40" t="str">
        <x:v>yes</x:v>
      </x:c>
      <x:c r="E21" s="47" t="str">
        <x:v>厨房和洁具设备的给水/排水/热水/电源粗装尺寸依据</x:v>
      </x:c>
      <x:c r="F21" s="48" t="str">
        <x:v>按最终产品逐台收集安装图；存放位置不得代替使用和接口位置</x:v>
      </x:c>
      <x:c r="G21" s="49" t="str">
        <x:v>写不下</x:v>
      </x:c>
      <x:c r="H21" s="47"/>
      <x:c r="I21" s="49" t="str">
        <x:v>需证据</x:v>
      </x:c>
      <x:c r="J21" s="49"/>
      <x:c r="K21" s="47" t="str">
        <x:v>现有模型端点不是正式 IfcDistributionPort</x:v>
      </x:c>
      <x:c r="L21" s="47" t="str">
        <x:v>PLUM connection register</x:v>
      </x:c>
      <x:c r="M21" s="47" t="str">
        <x:v>先从家电清单筛选需要水/排水的设备</x:v>
      </x:c>
    </x:row>
    <x:row r="22" ht="54" customHeight="1">
      <x:c r="A22" s="40" t="str">
        <x:v>DET1-WATERPROOF</x:v>
      </x:c>
      <x:c r="B22" s="40" t="str">
        <x:v>DET1</x:v>
      </x:c>
      <x:c r="C22" s="40" t="str">
        <x:v>P1</x:v>
      </x:c>
      <x:c r="D22" s="40" t="str">
        <x:v>yes</x:v>
      </x:c>
      <x:c r="E22" s="47" t="str">
        <x:v>厨房/卫生间防水体系、上翻高度和门口收口做法</x:v>
      </x:c>
      <x:c r="F22" s="48" t="str">
        <x:v>优先采用完整厂家体系并与地漏坡向/门槛高差一起审核</x:v>
      </x:c>
      <x:c r="G22" s="49"/>
      <x:c r="H22" s="47" t="str">
        <x:v>mm</x:v>
      </x:c>
      <x:c r="I22" s="49" t="str">
        <x:v>待填写</x:v>
      </x:c>
      <x:c r="J22" s="49"/>
      <x:c r="K22" s="47" t="str">
        <x:v>DET1 尚未开始且依赖 WFIN/A105/INT1</x:v>
      </x:c>
      <x:c r="L22" s="47" t="str">
        <x:v>DET1 details</x:v>
      </x:c>
      <x:c r="M22" s="47" t="str">
        <x:v>常见值只能作为候选不得替代项目做法</x:v>
      </x:c>
    </x:row>
  </x:sheetData>
  <x:conditionalFormatting sqref="I2:I22">
    <x:cfRule type="containsText" dxfId="0" priority="1" operator="containsText" text="采用候选"/>
    <x:cfRule type="containsText" dxfId="1" priority="2" operator="containsText" text="自定义确认"/>
    <x:cfRule type="containsText" dxfId="2" priority="3" operator="containsText" text="需证据"/>
  </x:conditionalFormatting>
  <x:dataValidations count="1">
    <x:dataValidation type="list" sqref="I2:I22">
      <x:formula1>"待填写,采用候选,自定义确认,需证据,暂缓,不适用"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0d0205b45f40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9" hidden="0" customWidth="1"/>
    <x:col min="9" max="9" width="14" hidden="0" customWidth="1"/>
    <x:col min="10" max="10" width="16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4" hidden="0" customWidth="1"/>
    <x:col min="16" max="16" width="28" hidden="0" customWidth="1"/>
    <x:col min="17" max="17" width="14" hidden="0" customWidth="1"/>
    <x:col min="18" max="18" width="36" hidden="0" customWidth="1"/>
  </x:cols>
  <x:sheetData>
    <x:row r="1" ht="38" customHeight="1">
      <x:c r="A1" s="44" t="str">
        <x:v>设备ID</x:v>
      </x:c>
      <x:c r="B1" s="44" t="str">
        <x:v>设备名称</x:v>
      </x:c>
      <x:c r="C1" s="44" t="str">
        <x:v>类别</x:v>
      </x:c>
      <x:c r="D1" s="44" t="str">
        <x:v>候选存放位置</x:v>
      </x:c>
      <x:c r="E1" s="44" t="str">
        <x:v>候选使用位置</x:v>
      </x:c>
      <x:c r="F1" s="44" t="str">
        <x:v>确认存放位置</x:v>
      </x:c>
      <x:c r="G1" s="44" t="str">
        <x:v>确认使用位置</x:v>
      </x:c>
      <x:c r="H1" s="44" t="str">
        <x:v>数量</x:v>
      </x:c>
      <x:c r="I1" s="44" t="str">
        <x:v>额定功率(W)</x:v>
      </x:c>
      <x:c r="J1" s="44" t="str">
        <x:v>同时使用组</x:v>
      </x:c>
      <x:c r="K1" s="44" t="str">
        <x:v>需给水</x:v>
      </x:c>
      <x:c r="L1" s="44" t="str">
        <x:v>需排水</x:v>
      </x:c>
      <x:c r="M1" s="44" t="str">
        <x:v>需燃气</x:v>
      </x:c>
      <x:c r="N1" s="44" t="str">
        <x:v>需通风</x:v>
      </x:c>
      <x:c r="O1" s="44" t="str">
        <x:v>型号</x:v>
      </x:c>
      <x:c r="P1" s="44" t="str">
        <x:v>证据/链接</x:v>
      </x:c>
      <x:c r="Q1" s="44" t="str">
        <x:v>状态</x:v>
      </x:c>
      <x:c r="R1" s="44" t="str">
        <x:v>备注</x:v>
      </x:c>
    </x:row>
    <x:row r="2" ht="42" customHeight="1">
      <x:c r="A2" s="47" t="str">
        <x:v>APP-001</x:v>
      </x:c>
      <x:c r="B2" s="47" t="str">
        <x:v>火锅电器</x:v>
      </x:c>
      <x:c r="C2" s="47" t="str">
        <x:v>移动厨电</x:v>
      </x:c>
      <x:c r="D2" s="48" t="str">
        <x:v>厨房柜内</x:v>
      </x:c>
      <x:c r="E2" s="48" t="str">
        <x:v>西厨岛台 NS-01</x:v>
      </x:c>
      <x:c r="F2" s="49" t="str"/>
      <x:c r="G2" s="49" t="str">
        <x:v>西厨岛台 NS-01</x:v>
      </x:c>
      <x:c r="H2" s="49" t="str">
        <x:v>1</x:v>
      </x:c>
      <x:c r="I2" s="49" t="str"/>
      <x:c r="J2" s="49" t="str">
        <x:v>NS01-A</x:v>
      </x:c>
      <x:c r="K2" s="49" t="str">
        <x:v>no</x:v>
      </x:c>
      <x:c r="L2" s="49" t="str">
        <x:v>no</x:v>
      </x:c>
      <x:c r="M2" s="49" t="str">
        <x:v>no</x:v>
      </x:c>
      <x:c r="N2" s="49" t="str">
        <x:v>no</x:v>
      </x:c>
      <x:c r="O2" s="49" t="str"/>
      <x:c r="P2" s="49" t="str"/>
      <x:c r="Q2" s="49" t="str">
        <x:v>部分确认</x:v>
      </x:c>
      <x:c r="R2" s="49" t="str">
        <x:v>实际使用位置已由用户说明；补型号与铭牌功率</x:v>
      </x:c>
    </x:row>
    <x:row r="3" ht="42" customHeight="1">
      <x:c r="A3" s="47" t="str">
        <x:v>APP-002</x:v>
      </x:c>
      <x:c r="B3" s="47" t="str">
        <x:v>搅拌机</x:v>
      </x:c>
      <x:c r="C3" s="47" t="str">
        <x:v>移动厨电</x:v>
      </x:c>
      <x:c r="D3" s="48" t="str">
        <x:v>厨房柜内</x:v>
      </x:c>
      <x:c r="E3" s="48" t="str">
        <x:v>西厨岛台 NS-01</x:v>
      </x:c>
      <x:c r="F3" s="49" t="str"/>
      <x:c r="G3" s="49" t="str">
        <x:v>西厨岛台 NS-01</x:v>
      </x:c>
      <x:c r="H3" s="49" t="str">
        <x:v>1</x:v>
      </x:c>
      <x:c r="I3" s="49" t="str"/>
      <x:c r="J3" s="49" t="str">
        <x:v>NS01-B</x:v>
      </x:c>
      <x:c r="K3" s="49" t="str">
        <x:v>no</x:v>
      </x:c>
      <x:c r="L3" s="49" t="str">
        <x:v>no</x:v>
      </x:c>
      <x:c r="M3" s="49" t="str">
        <x:v>no</x:v>
      </x:c>
      <x:c r="N3" s="49" t="str">
        <x:v>no</x:v>
      </x:c>
      <x:c r="O3" s="49" t="str"/>
      <x:c r="P3" s="49" t="str"/>
      <x:c r="Q3" s="49" t="str">
        <x:v>部分确认</x:v>
      </x:c>
      <x:c r="R3" s="49" t="str">
        <x:v>用户已确认可与火锅同时使用；仍缺型号与铭牌功率</x:v>
      </x:c>
    </x:row>
    <x:row r="4" ht="42" customHeight="1">
      <x:c r="A4" s="47" t="str">
        <x:v>APP-003</x:v>
      </x:c>
      <x:c r="B4" s="47" t="str">
        <x:v>Sous-vide 棒</x:v>
      </x:c>
      <x:c r="C4" s="47" t="str">
        <x:v>移动厨电</x:v>
      </x:c>
      <x:c r="D4" s="48" t="str">
        <x:v>厨房柜内</x:v>
      </x:c>
      <x:c r="E4" s="48" t="str">
        <x:v>西厨岛台 NS-01</x:v>
      </x:c>
      <x:c r="F4" s="49" t="str"/>
      <x:c r="G4" s="49" t="str">
        <x:v>西厨岛台 NS-01</x:v>
      </x:c>
      <x:c r="H4" s="49" t="str">
        <x:v>1</x:v>
      </x:c>
      <x:c r="I4" s="49" t="str"/>
      <x:c r="J4" s="49" t="str">
        <x:v>NS01-B</x:v>
      </x:c>
      <x:c r="K4" s="49" t="str">
        <x:v>no</x:v>
      </x:c>
      <x:c r="L4" s="49" t="str">
        <x:v>no</x:v>
      </x:c>
      <x:c r="M4" s="49" t="str">
        <x:v>no</x:v>
      </x:c>
      <x:c r="N4" s="49" t="str">
        <x:v>no</x:v>
      </x:c>
      <x:c r="O4" s="49" t="str"/>
      <x:c r="P4" s="49" t="str"/>
      <x:c r="Q4" s="49" t="str">
        <x:v>部分确认</x:v>
      </x:c>
      <x:c r="R4" s="49" t="str">
        <x:v>长时间运行需确认容器和插座位置</x:v>
      </x:c>
    </x:row>
    <x:row r="5" ht="42" customHeight="1">
      <x:c r="A5" s="47" t="str">
        <x:v>APP-004</x:v>
      </x:c>
      <x:c r="B5" s="47" t="str">
        <x:v>咖啡机</x:v>
      </x:c>
      <x:c r="C5" s="47" t="str">
        <x:v>咖啡设备</x:v>
      </x:c>
      <x:c r="D5" s="48" t="str">
        <x:v>餐边柜</x:v>
      </x:c>
      <x:c r="E5" s="48" t="str">
        <x:v>餐边柜 NS-02</x:v>
      </x:c>
      <x:c r="F5" s="49" t="str"/>
      <x:c r="G5" s="49" t="str">
        <x:v>餐边柜 NS-02</x:v>
      </x:c>
      <x:c r="H5" s="49" t="str">
        <x:v>1</x:v>
      </x:c>
      <x:c r="I5" s="49" t="str"/>
      <x:c r="J5" s="49" t="str">
        <x:v>NS02-A</x:v>
      </x:c>
      <x:c r="K5" s="49" t="str">
        <x:v>model_dependent</x:v>
      </x:c>
      <x:c r="L5" s="49" t="str">
        <x:v>model_dependent</x:v>
      </x:c>
      <x:c r="M5" s="49" t="str">
        <x:v>no</x:v>
      </x:c>
      <x:c r="N5" s="49" t="str">
        <x:v>no</x:v>
      </x:c>
      <x:c r="O5" s="49" t="str"/>
      <x:c r="P5" s="49" t="str"/>
      <x:c r="Q5" s="49" t="str">
        <x:v>部分确认</x:v>
      </x:c>
      <x:c r="R5" s="49" t="str">
        <x:v>实际使用位置已由用户说明</x:v>
      </x:c>
    </x:row>
    <x:row r="6" ht="42" customHeight="1">
      <x:c r="A6" s="47" t="str">
        <x:v>APP-005</x:v>
      </x:c>
      <x:c r="B6" s="47" t="str">
        <x:v>手冲电热水壶</x:v>
      </x:c>
      <x:c r="C6" s="47" t="str">
        <x:v>咖啡设备</x:v>
      </x:c>
      <x:c r="D6" s="48" t="str">
        <x:v>餐边柜</x:v>
      </x:c>
      <x:c r="E6" s="48" t="str">
        <x:v>餐边柜 NS-02</x:v>
      </x:c>
      <x:c r="F6" s="49" t="str"/>
      <x:c r="G6" s="49" t="str">
        <x:v>餐边柜 NS-02</x:v>
      </x:c>
      <x:c r="H6" s="49" t="str">
        <x:v>1</x:v>
      </x:c>
      <x:c r="I6" s="49" t="str"/>
      <x:c r="J6" s="49" t="str">
        <x:v>NS02-A</x:v>
      </x:c>
      <x:c r="K6" s="49" t="str">
        <x:v>no</x:v>
      </x:c>
      <x:c r="L6" s="49" t="str">
        <x:v>no</x:v>
      </x:c>
      <x:c r="M6" s="49" t="str">
        <x:v>no</x:v>
      </x:c>
      <x:c r="N6" s="49" t="str">
        <x:v>no</x:v>
      </x:c>
      <x:c r="O6" s="49" t="str"/>
      <x:c r="P6" s="49" t="str"/>
      <x:c r="Q6" s="49" t="str">
        <x:v>部分确认</x:v>
      </x:c>
      <x:c r="R6" s="49" t="str">
        <x:v>用户已确认不与咖啡机同时使用；仍缺最终型号与铭牌功率</x:v>
      </x:c>
    </x:row>
    <x:row r="7" ht="42" customHeight="1">
      <x:c r="A7" s="47" t="str">
        <x:v>APP-006</x:v>
      </x:c>
      <x:c r="B7" s="47" t="str">
        <x:v>磨豆机</x:v>
      </x:c>
      <x:c r="C7" s="47" t="str">
        <x:v>咖啡设备</x:v>
      </x:c>
      <x:c r="D7" s="48" t="str">
        <x:v>餐边柜</x:v>
      </x:c>
      <x:c r="E7" s="48" t="str">
        <x:v>餐边柜 NS-02</x:v>
      </x:c>
      <x:c r="F7" s="49" t="str"/>
      <x:c r="G7" s="49" t="str">
        <x:v>餐边柜 NS-02</x:v>
      </x:c>
      <x:c r="H7" s="49" t="str">
        <x:v>1</x:v>
      </x:c>
      <x:c r="I7" s="49" t="str"/>
      <x:c r="J7" s="49" t="str">
        <x:v>NS02-B</x:v>
      </x:c>
      <x:c r="K7" s="49" t="str">
        <x:v>no</x:v>
      </x:c>
      <x:c r="L7" s="49" t="str">
        <x:v>no</x:v>
      </x:c>
      <x:c r="M7" s="49" t="str">
        <x:v>no</x:v>
      </x:c>
      <x:c r="N7" s="49" t="str">
        <x:v>no</x:v>
      </x:c>
      <x:c r="O7" s="49" t="str"/>
      <x:c r="P7" s="49" t="str"/>
      <x:c r="Q7" s="49" t="str">
        <x:v>部分确认</x:v>
      </x:c>
      <x:c r="R7" s="49" t="str">
        <x:v>补型号与铭牌功率</x:v>
      </x:c>
    </x:row>
    <x:row r="8" ht="42" customHeight="1">
      <x:c r="A8" s="47" t="str">
        <x:v>APP-007</x:v>
      </x:c>
      <x:c r="B8" s="47" t="str">
        <x:v>冰箱 1</x:v>
      </x:c>
      <x:c r="C8" s="47" t="str">
        <x:v>固定厨房电器</x:v>
      </x:c>
      <x:c r="D8" s="48" t="str">
        <x:v>西厨</x:v>
      </x:c>
      <x:c r="E8" s="48" t="str">
        <x:v>西厨</x:v>
      </x:c>
      <x:c r="F8" s="49" t="str"/>
      <x:c r="G8" s="49" t="str">
        <x:v>西厨</x:v>
      </x:c>
      <x:c r="H8" s="49" t="str">
        <x:v>1</x:v>
      </x:c>
      <x:c r="I8" s="49" t="str"/>
      <x:c r="J8" s="49" t="str">
        <x:v>CONTINUOUS</x:v>
      </x:c>
      <x:c r="K8" s="49" t="str">
        <x:v>no</x:v>
      </x:c>
      <x:c r="L8" s="49" t="str">
        <x:v>no</x:v>
      </x:c>
      <x:c r="M8" s="49" t="str">
        <x:v>no</x:v>
      </x:c>
      <x:c r="N8" s="49" t="str">
        <x:v>yes</x:v>
      </x:c>
      <x:c r="O8" s="49" t="str"/>
      <x:c r="P8" s="49" t="str"/>
      <x:c r="Q8" s="49" t="str">
        <x:v>待填写</x:v>
      </x:c>
      <x:c r="R8" s="49" t="str">
        <x:v>持续供电且不得进入照明总控</x:v>
      </x:c>
    </x:row>
    <x:row r="9" ht="42" customHeight="1">
      <x:c r="A9" s="47" t="str">
        <x:v>APP-008</x:v>
      </x:c>
      <x:c r="B9" s="47" t="str">
        <x:v>冰箱 2</x:v>
      </x:c>
      <x:c r="C9" s="47" t="str">
        <x:v>固定厨房电器</x:v>
      </x:c>
      <x:c r="D9" s="48" t="str">
        <x:v>西厨</x:v>
      </x:c>
      <x:c r="E9" s="48" t="str">
        <x:v>西厨</x:v>
      </x:c>
      <x:c r="F9" s="49" t="str"/>
      <x:c r="G9" s="49" t="str">
        <x:v>西厨</x:v>
      </x:c>
      <x:c r="H9" s="49" t="str">
        <x:v>1</x:v>
      </x:c>
      <x:c r="I9" s="49" t="str"/>
      <x:c r="J9" s="49" t="str">
        <x:v>CONTINUOUS</x:v>
      </x:c>
      <x:c r="K9" s="49" t="str">
        <x:v>no</x:v>
      </x:c>
      <x:c r="L9" s="49" t="str">
        <x:v>no</x:v>
      </x:c>
      <x:c r="M9" s="49" t="str">
        <x:v>no</x:v>
      </x:c>
      <x:c r="N9" s="49" t="str">
        <x:v>yes</x:v>
      </x:c>
      <x:c r="O9" s="49" t="str"/>
      <x:c r="P9" s="49" t="str"/>
      <x:c r="Q9" s="49" t="str">
        <x:v>待填写</x:v>
      </x:c>
      <x:c r="R9" s="49" t="str">
        <x:v>持续供电且不得进入照明总控</x:v>
      </x:c>
    </x:row>
    <x:row r="10" ht="42" customHeight="1">
      <x:c r="A10" s="47" t="str">
        <x:v>APP-009</x:v>
      </x:c>
      <x:c r="B10" s="47" t="str">
        <x:v>岛台洗碗机 1</x:v>
      </x:c>
      <x:c r="C10" s="47" t="str">
        <x:v>固定厨房电器</x:v>
      </x:c>
      <x:c r="D10" s="48" t="str">
        <x:v>西厨岛台</x:v>
      </x:c>
      <x:c r="E10" s="48" t="str">
        <x:v>西厨岛台</x:v>
      </x:c>
      <x:c r="F10" s="49" t="str"/>
      <x:c r="G10" s="49" t="str">
        <x:v>西厨岛台</x:v>
      </x:c>
      <x:c r="H10" s="49" t="str">
        <x:v>1</x:v>
      </x:c>
      <x:c r="I10" s="49" t="str"/>
      <x:c r="J10" s="49" t="str">
        <x:v>DISHWASHER-A</x:v>
      </x:c>
      <x:c r="K10" s="49" t="str">
        <x:v>yes</x:v>
      </x:c>
      <x:c r="L10" s="49" t="str">
        <x:v>yes</x:v>
      </x:c>
      <x:c r="M10" s="49" t="str">
        <x:v>no</x:v>
      </x:c>
      <x:c r="N10" s="49" t="str">
        <x:v>no</x:v>
      </x:c>
      <x:c r="O10" s="49" t="str"/>
      <x:c r="P10" s="49" t="str"/>
      <x:c r="Q10" s="49" t="str">
        <x:v>待填写</x:v>
      </x:c>
      <x:c r="R10" s="49" t="str">
        <x:v>IFC 身份已确认；补产品安装图</x:v>
      </x:c>
    </x:row>
    <x:row r="11" ht="42" customHeight="1">
      <x:c r="A11" s="47" t="str">
        <x:v>APP-010</x:v>
      </x:c>
      <x:c r="B11" s="47" t="str">
        <x:v>岛台洗碗机 2</x:v>
      </x:c>
      <x:c r="C11" s="47" t="str">
        <x:v>固定厨房电器</x:v>
      </x:c>
      <x:c r="D11" s="48" t="str">
        <x:v>西厨岛台</x:v>
      </x:c>
      <x:c r="E11" s="48" t="str">
        <x:v>西厨岛台</x:v>
      </x:c>
      <x:c r="F11" s="49" t="str"/>
      <x:c r="G11" s="49" t="str">
        <x:v>西厨岛台</x:v>
      </x:c>
      <x:c r="H11" s="49" t="str">
        <x:v>1</x:v>
      </x:c>
      <x:c r="I11" s="49" t="str"/>
      <x:c r="J11" s="49" t="str">
        <x:v>DISHWASHER-B</x:v>
      </x:c>
      <x:c r="K11" s="49" t="str">
        <x:v>yes</x:v>
      </x:c>
      <x:c r="L11" s="49" t="str">
        <x:v>yes</x:v>
      </x:c>
      <x:c r="M11" s="49" t="str">
        <x:v>no</x:v>
      </x:c>
      <x:c r="N11" s="49" t="str">
        <x:v>no</x:v>
      </x:c>
      <x:c r="O11" s="49" t="str"/>
      <x:c r="P11" s="49" t="str"/>
      <x:c r="Q11" s="49" t="str">
        <x:v>待填写</x:v>
      </x:c>
      <x:c r="R11" s="49" t="str">
        <x:v>IFC 身份已确认；补产品安装图</x:v>
      </x:c>
    </x:row>
    <x:row r="12" ht="42" customHeight="1">
      <x:c r="A12" s="47" t="str">
        <x:v>APP-011</x:v>
      </x:c>
      <x:c r="B12" s="47" t="str">
        <x:v>烤箱</x:v>
      </x:c>
      <x:c r="C12" s="47" t="str">
        <x:v>固定厨房电器</x:v>
      </x:c>
      <x:c r="D12" s="48" t="str">
        <x:v>西厨高柜</x:v>
      </x:c>
      <x:c r="E12" s="48" t="str">
        <x:v>西厨高柜</x:v>
      </x:c>
      <x:c r="F12" s="49" t="str">
        <x:v>西厨高柜</x:v>
      </x:c>
      <x:c r="G12" s="49" t="str">
        <x:v>西厨高柜</x:v>
      </x:c>
      <x:c r="H12" s="49" t="n">
        <x:v>1</x:v>
      </x:c>
      <x:c r="I12" s="49" t="n">
        <x:v>3400</x:v>
      </x:c>
      <x:c r="J12" s="49" t="str">
        <x:v>COOKING-A</x:v>
      </x:c>
      <x:c r="K12" s="49" t="str">
        <x:v>no</x:v>
      </x:c>
      <x:c r="L12" s="49" t="str">
        <x:v>no</x:v>
      </x:c>
      <x:c r="M12" s="49" t="str">
        <x:v>no</x:v>
      </x:c>
      <x:c r="N12" s="49" t="str">
        <x:v>yes</x:v>
      </x:c>
      <x:c r="O12" s="49" t="str">
        <x:v>Siemens HB754G2B1W</x:v>
      </x:c>
      <x:c r="P12" s="49" t="str">
        <x:v>APP-011-PHOTO-001;APP-011-OFFICIAL-001</x:v>
      </x:c>
      <x:c r="Q12" s="49" t="str">
        <x:v>已确认</x:v>
      </x:c>
      <x:c r="R12" s="49" t="str">
        <x:v>已到货（包装照片）；220V/50Hz，最大功率3400W，16A插头；机身595×594×548 mm；柜体开口宽560–568、高585–595、深≥550 mm；进风面积≥200 cm²；电源线约1.2 m。</x:v>
      </x:c>
    </x:row>
    <x:row r="13" ht="42" customHeight="1">
      <x:c r="A13" s="47" t="str">
        <x:v>APP-012</x:v>
      </x:c>
      <x:c r="B13" s="47" t="str">
        <x:v>炉灶</x:v>
      </x:c>
      <x:c r="C13" s="47" t="str">
        <x:v>固定厨房电器</x:v>
      </x:c>
      <x:c r="D13" s="48" t="str">
        <x:v>中厨</x:v>
      </x:c>
      <x:c r="E13" s="48" t="str">
        <x:v>中厨</x:v>
      </x:c>
      <x:c r="F13" s="49" t="str">
        <x:v>中厨</x:v>
      </x:c>
      <x:c r="G13" s="49" t="str">
        <x:v>中厨</x:v>
      </x:c>
      <x:c r="H13" s="49" t="n">
        <x:v>1</x:v>
      </x:c>
      <x:c r="I13" s="49" t="n">
        <x:v>0</x:v>
      </x:c>
      <x:c r="J13" s="49" t="str">
        <x:v>COOKING-B</x:v>
      </x:c>
      <x:c r="K13" s="49" t="str">
        <x:v>no</x:v>
      </x:c>
      <x:c r="L13" s="49" t="str">
        <x:v>no</x:v>
      </x:c>
      <x:c r="M13" s="49" t="str">
        <x:v>yes</x:v>
      </x:c>
      <x:c r="N13" s="49" t="str">
        <x:v>yes</x:v>
      </x:c>
      <x:c r="O13" s="49" t="str">
        <x:v>Siemens ER9EPA33MP/01（JZT-ER9EPA33MP）</x:v>
      </x:c>
      <x:c r="P13" s="49" t="str">
        <x:v>APP-012-PHOTO-001;APP-012-PHOTO-002;APP-012-OFFICIAL-001</x:v>
      </x:c>
      <x:c r="Q13" s="49" t="str">
        <x:v>已确认</x:v>
      </x:c>
      <x:c r="R13" s="49" t="str">
        <x:v>已到货（包装照片）；天然气12T/2.0kPa；额定热负荷左/中/右5.2/2.0/5.2kW；DC1.5V电池点火；外形920×500×150 mm；台面开孔880×455 mm、4×R15；橱柜通风≥100cm²；独立安装下方净空≥100mm（下置电器时隔板至台面≥120mm）；燃气接驳以当地燃气公司要求为准。</x:v>
      </x:c>
    </x:row>
    <x:row r="14" ht="42" customHeight="1">
      <x:c r="A14" s="47" t="str">
        <x:v>APP-013</x:v>
      </x:c>
      <x:c r="B14" s="47" t="str">
        <x:v>油烟机</x:v>
      </x:c>
      <x:c r="C14" s="47" t="str">
        <x:v>固定厨房电器</x:v>
      </x:c>
      <x:c r="D14" s="48" t="str">
        <x:v>中厨</x:v>
      </x:c>
      <x:c r="E14" s="48" t="str">
        <x:v>中厨</x:v>
      </x:c>
      <x:c r="F14" s="49" t="str">
        <x:v>中厨</x:v>
      </x:c>
      <x:c r="G14" s="49" t="str">
        <x:v>中厨</x:v>
      </x:c>
      <x:c r="H14" s="49" t="n">
        <x:v>1</x:v>
      </x:c>
      <x:c r="I14" s="49" t="n">
        <x:v>385</x:v>
      </x:c>
      <x:c r="J14" s="49" t="str">
        <x:v>COOKING-B</x:v>
      </x:c>
      <x:c r="K14" s="49" t="str">
        <x:v>no</x:v>
      </x:c>
      <x:c r="L14" s="49" t="str">
        <x:v>no</x:v>
      </x:c>
      <x:c r="M14" s="49" t="str">
        <x:v>no</x:v>
      </x:c>
      <x:c r="N14" s="49" t="str">
        <x:v>yes</x:v>
      </x:c>
      <x:c r="O14" s="49" t="str">
        <x:v>Siemens LS33R6VB9W/01（CXW-380-LS33R6VB9W）</x:v>
      </x:c>
      <x:c r="P14" s="49" t="str">
        <x:v>APP-013-PHOTO-001;APP-013-PHOTO-002;APP-013-OFFICIAL-001</x:v>
      </x:c>
      <x:c r="Q14" s="49" t="str">
        <x:v>已确认</x:v>
      </x:c>
      <x:c r="R14" s="49" t="str">
        <x:v>已到货（包装照片）；220V/50Hz，额定输入385W；外形895×345×873 mm；烟管及止逆阀内径≥160mm，烟管宜≤3m且1弯；墙洞建议Ø180mm；吊顶圆孔Ø190mm；吊顶内预留电源；检修口建议400×400mm；与燃气灶承锅面净距≥650mm；电源线约1.3m。</x:v>
      </x:c>
    </x:row>
    <x:row r="15" ht="42" customHeight="1">
      <x:c r="A15" s="47" t="str">
        <x:v>APP-014</x:v>
      </x:c>
      <x:c r="B15" s="47" t="str">
        <x:v>直饮机</x:v>
      </x:c>
      <x:c r="C15" s="47" t="str">
        <x:v>水处理设备</x:v>
      </x:c>
      <x:c r="D15" s="48" t="str">
        <x:v>西厨</x:v>
      </x:c>
      <x:c r="E15" s="48" t="str">
        <x:v>西厨使用点</x:v>
      </x:c>
      <x:c r="F15" s="49" t="str"/>
      <x:c r="G15" s="49" t="str">
        <x:v>西厨使用点</x:v>
      </x:c>
      <x:c r="H15" s="49" t="str">
        <x:v>1</x:v>
      </x:c>
      <x:c r="I15" s="49" t="str"/>
      <x:c r="J15" s="49" t="str">
        <x:v>WATER-A</x:v>
      </x:c>
      <x:c r="K15" s="49" t="str">
        <x:v>yes</x:v>
      </x:c>
      <x:c r="L15" s="49" t="str">
        <x:v>model_dependent</x:v>
      </x:c>
      <x:c r="M15" s="49" t="str">
        <x:v>no</x:v>
      </x:c>
      <x:c r="N15" s="49" t="str">
        <x:v>no</x:v>
      </x:c>
      <x:c r="O15" s="49" t="str"/>
      <x:c r="P15" s="49" t="str"/>
      <x:c r="Q15" s="49" t="str">
        <x:v>待填写</x:v>
      </x:c>
      <x:c r="R15" s="49" t="str">
        <x:v>补产品安装图和排水需求</x:v>
      </x:c>
    </x:row>
    <x:row r="16" ht="42" customHeight="1">
      <x:c r="A16" s="47" t="str">
        <x:v>APP-015</x:v>
      </x:c>
      <x:c r="B16" s="47" t="str">
        <x:v>净水器</x:v>
      </x:c>
      <x:c r="C16" s="47" t="str">
        <x:v>水处理设备</x:v>
      </x:c>
      <x:c r="D16" s="48" t="str">
        <x:v>西厨柜内</x:v>
      </x:c>
      <x:c r="E16" s="48" t="str">
        <x:v>西厨柜内接口区</x:v>
      </x:c>
      <x:c r="F16" s="49" t="str"/>
      <x:c r="G16" s="49" t="str">
        <x:v>西厨柜内接口区</x:v>
      </x:c>
      <x:c r="H16" s="49" t="str">
        <x:v>1</x:v>
      </x:c>
      <x:c r="I16" s="49" t="str"/>
      <x:c r="J16" s="49" t="str">
        <x:v>WATER-A</x:v>
      </x:c>
      <x:c r="K16" s="49" t="str">
        <x:v>yes</x:v>
      </x:c>
      <x:c r="L16" s="49" t="str">
        <x:v>model_dependent</x:v>
      </x:c>
      <x:c r="M16" s="49" t="str">
        <x:v>no</x:v>
      </x:c>
      <x:c r="N16" s="49" t="str">
        <x:v>no</x:v>
      </x:c>
      <x:c r="O16" s="49" t="str"/>
      <x:c r="P16" s="49" t="str"/>
      <x:c r="Q16" s="49" t="str">
        <x:v>待填写</x:v>
      </x:c>
      <x:c r="R16" s="49" t="str">
        <x:v>存放位置与龙头使用点分开记录</x:v>
      </x:c>
    </x:row>
    <x:row r="17" ht="42" customHeight="1">
      <x:c r="A17" s="47" t="str">
        <x:v>APP-016</x:v>
      </x:c>
      <x:c r="B17" s="47" t="str">
        <x:v>垃圾处理器</x:v>
      </x:c>
      <x:c r="C17" s="47" t="str">
        <x:v>固定厨房电器</x:v>
      </x:c>
      <x:c r="D17" s="48" t="str">
        <x:v>西厨水槽柜</x:v>
      </x:c>
      <x:c r="E17" s="48" t="str">
        <x:v>西厨水槽柜</x:v>
      </x:c>
      <x:c r="F17" s="49" t="str"/>
      <x:c r="G17" s="49" t="str">
        <x:v>西厨水槽柜</x:v>
      </x:c>
      <x:c r="H17" s="49" t="str">
        <x:v>1</x:v>
      </x:c>
      <x:c r="I17" s="49" t="str"/>
      <x:c r="J17" s="49" t="str">
        <x:v>WATER-A</x:v>
      </x:c>
      <x:c r="K17" s="49" t="str">
        <x:v>no</x:v>
      </x:c>
      <x:c r="L17" s="49" t="str">
        <x:v>yes</x:v>
      </x:c>
      <x:c r="M17" s="49" t="str">
        <x:v>no</x:v>
      </x:c>
      <x:c r="N17" s="49" t="str">
        <x:v>no</x:v>
      </x:c>
      <x:c r="O17" s="49" t="str"/>
      <x:c r="P17" s="49" t="str"/>
      <x:c r="Q17" s="49" t="str">
        <x:v>待填写</x:v>
      </x:c>
      <x:c r="R17" s="49" t="str">
        <x:v>补功率/开关方式/排水连接要求</x:v>
      </x:c>
    </x:row>
    <x:row r="18" ht="42" customHeight="1">
      <x:c r="A18" s="47" t="str">
        <x:v>APP-017</x:v>
      </x:c>
      <x:c r="B18" s="47" t="str">
        <x:v>LG WashTower</x:v>
      </x:c>
      <x:c r="C18" s="47" t="str">
        <x:v>洗衣设备</x:v>
      </x:c>
      <x:c r="D18" s="48" t="str">
        <x:v>中厨</x:v>
      </x:c>
      <x:c r="E18" s="48" t="str">
        <x:v>中厨</x:v>
      </x:c>
      <x:c r="F18" s="49" t="str"/>
      <x:c r="G18" s="49" t="str">
        <x:v>中厨</x:v>
      </x:c>
      <x:c r="H18" s="49" t="str">
        <x:v>1</x:v>
      </x:c>
      <x:c r="I18" s="49" t="str"/>
      <x:c r="J18" s="49" t="str">
        <x:v>LAUNDRY-A</x:v>
      </x:c>
      <x:c r="K18" s="49" t="str">
        <x:v>yes</x:v>
      </x:c>
      <x:c r="L18" s="49" t="str">
        <x:v>yes</x:v>
      </x:c>
      <x:c r="M18" s="49" t="str">
        <x:v>no</x:v>
      </x:c>
      <x:c r="N18" s="49" t="str">
        <x:v>yes</x:v>
      </x:c>
      <x:c r="O18" s="49" t="str"/>
      <x:c r="P18" s="49" t="str"/>
      <x:c r="Q18" s="49" t="str">
        <x:v>待填写</x:v>
      </x:c>
      <x:c r="R18" s="49" t="str">
        <x:v>正式 IFC 有设备体量；补完整型号与安装图</x:v>
      </x:c>
    </x:row>
    <x:row r="19" ht="42" customHeight="1">
      <x:c r="A19" s="47" t="str">
        <x:v>APP-018</x:v>
      </x:c>
      <x:c r="B19" s="47" t="str">
        <x:v>Huawei 联通智家设备</x:v>
      </x:c>
      <x:c r="C19" s="47" t="str">
        <x:v>网络设备</x:v>
      </x:c>
      <x:c r="D19" s="48" t="str">
        <x:v>玄关弱电箱</x:v>
      </x:c>
      <x:c r="E19" s="48" t="str">
        <x:v>玄关弱电箱</x:v>
      </x:c>
      <x:c r="F19" s="49" t="str"/>
      <x:c r="G19" s="49" t="str">
        <x:v>玄关弱电箱</x:v>
      </x:c>
      <x:c r="H19" s="49" t="str">
        <x:v>1</x:v>
      </x:c>
      <x:c r="I19" s="49" t="str"/>
      <x:c r="J19" s="49" t="str">
        <x:v>CONTINUOUS</x:v>
      </x:c>
      <x:c r="K19" s="49" t="str">
        <x:v>no</x:v>
      </x:c>
      <x:c r="L19" s="49" t="str">
        <x:v>no</x:v>
      </x:c>
      <x:c r="M19" s="49" t="str">
        <x:v>no</x:v>
      </x:c>
      <x:c r="N19" s="49" t="str">
        <x:v>yes</x:v>
      </x:c>
      <x:c r="O19" s="49" t="str"/>
      <x:c r="P19" s="49" t="str"/>
      <x:c r="Q19" s="49" t="str">
        <x:v>部分确认</x:v>
      </x:c>
      <x:c r="R19" s="49" t="str">
        <x:v>实际箱内运行已确认；补底部铭牌与设备功能</x:v>
      </x:c>
    </x:row>
  </x:sheetData>
  <x:conditionalFormatting sqref="Q2:Q19">
    <x:cfRule type="containsText" dxfId="3" priority="1" operator="containsText" text="已确认"/>
    <x:cfRule type="containsText" dxfId="4" priority="2" operator="containsText" text="部分确认"/>
  </x:conditionalFormatting>
  <x:dataValidations count="5">
    <x:dataValidation type="list" sqref="Q2:Q19">
      <x:formula1>"待填写,部分确认,已确认,暂缓,不适用"</x:formula1>
    </x:dataValidation>
    <x:dataValidation type="list" sqref="K2:K19">
      <x:formula1>"yes,no,model_dependent"</x:formula1>
    </x:dataValidation>
    <x:dataValidation type="list" sqref="L2:L19">
      <x:formula1>"yes,no,model_dependent"</x:formula1>
    </x:dataValidation>
    <x:dataValidation type="list" sqref="M2:M19">
      <x:formula1>"yes,no,model_dependent"</x:formula1>
    </x:dataValidation>
    <x:dataValidation type="list" sqref="N2:N19">
      <x:formula1>"yes,no,model_dependent"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cd8901f028479a"/>
  </x:tableParts>
</x:worksheet>
</file>