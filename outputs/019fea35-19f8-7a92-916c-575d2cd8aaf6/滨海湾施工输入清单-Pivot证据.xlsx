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902ca8378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33003bf66a94c83"/>
    <x:sheet xmlns:r="http://schemas.openxmlformats.org/officeDocument/2006/relationships" name="设计决策" sheetId="2" r:id="Rb7f885e1b3954c0f"/>
    <x:sheet xmlns:r="http://schemas.openxmlformats.org/officeDocument/2006/relationships" name="家电清单" sheetId="3" r:id="R65f615aab46d45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8"/>
      <x:color rgb="FFFFFFFF"/>
      <x:name val="Carlito"/>
    </x:font>
    <x:font>
      <x:b/>
      <x:sz val="11"/>
      <x:color rgb="FF7F6000"/>
      <x:name val="Carlito"/>
    </x:font>
    <x:font>
      <x:b/>
      <x:sz val="11"/>
      <x:color rgb="FF17324D"/>
      <x:name val="Carlito"/>
    </x:font>
    <x:font>
      <x:b/>
      <x:sz val="11"/>
      <x:color rgb="FF274E13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7F6000"/>
      <x:name val="Aptos"/>
    </x:font>
    <x:font>
      <x:b/>
      <x:sz val="11"/>
      <x:color rgb="FF17324D"/>
      <x:name val="Aptos"/>
    </x:font>
    <x:font>
      <x:b/>
      <x:sz val="11"/>
      <x:color rgb="FF274E13"/>
      <x:name val="Aptos"/>
    </x:font>
    <x:font>
      <x:sz val="10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E7E6E6"/>
      </x:patternFill>
    </x:fill>
  </x:fills>
  <x:borders count="13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AD3"/>
      </x:right>
      <x:bottom style="thin">
        <x:color rgb="FFD9EAD3"/>
      </x:bottom>
    </x:border>
    <x:border>
      <x:left style="thin">
        <x:color rgb="FFD9EAD3"/>
      </x:left>
      <x:bottom style="thin">
        <x:color rgb="FFD9EAD3"/>
      </x:bottom>
    </x:border>
    <x:border>
      <x:right style="thin">
        <x:color rgb="FFD9EAD3"/>
      </x:right>
      <x:top style="thin">
        <x:color rgb="FFD9EAD3"/>
      </x:top>
      <x:bottom style="thin">
        <x:color rgb="FFD9EAD3"/>
      </x:bottom>
    </x:border>
    <x:border>
      <x:left style="thin">
        <x:color rgb="FFD9EAD3"/>
      </x:left>
      <x:top style="thin">
        <x:color rgb="FFD9EAD3"/>
      </x:top>
      <x:bottom style="thin">
        <x:color rgb="FFD9EAD3"/>
      </x:bottom>
    </x:border>
    <x:border>
      <x:right style="thin">
        <x:color rgb="FFD9EAD3"/>
      </x:right>
      <x:top style="thin">
        <x:color rgb="FFD9EAD3"/>
      </x:top>
    </x:border>
    <x:border>
      <x:left style="thin">
        <x:color rgb="FFD9EAD3"/>
      </x:left>
      <x:top style="thin">
        <x:color rgb="FFD9EAD3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8" fillId="4" borderId="1" xfId="0" applyNumberFormat="1" applyFont="1" applyFill="1" applyBorder="1"/>
    <x:xf numFmtId="0" fontId="8" fillId="4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/>
    <x:xf numFmtId="0" fontId="6" fillId="0" borderId="6" xfId="0" applyNumberFormat="1" applyFont="1" applyFill="1" applyBorder="1" applyAlignment="1">
      <x:alignment wrapText="1"/>
    </x:xf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10" fillId="0" borderId="0" xfId="0" applyNumberFormat="1" applyFont="1" applyFill="1" applyBorder="1"/>
    <x:xf numFmtId="0" fontId="10" fillId="2" borderId="0" xfId="0" applyNumberFormat="1" applyFont="1" applyFill="1" applyBorder="1"/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/>
    <x:xf numFmtId="0" fontId="10" fillId="3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color rgb="FF783F04"/>
      </x:font>
      <x:fill>
        <x:patternFill>
          <x:bgColor rgb="FFFCE5CD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3f3dc781bd4bfb" /><Relationship Type="http://schemas.openxmlformats.org/officeDocument/2006/relationships/theme" Target="/xl/theme/theme1.xml" Id="R1cfbe5453a994635" /><Relationship Type="http://schemas.openxmlformats.org/officeDocument/2006/relationships/sharedStrings" Target="/xl/sharedStrings.xml" Id="Ra113a713235e437f" /><Relationship Type="http://schemas.openxmlformats.org/officeDocument/2006/relationships/worksheet" Target="/xl/worksheets/sheet1.xml" Id="R733003bf66a94c83" /><Relationship Type="http://schemas.openxmlformats.org/officeDocument/2006/relationships/worksheet" Target="/xl/worksheets/sheet2.xml" Id="Rb7f885e1b3954c0f" /><Relationship Type="http://schemas.openxmlformats.org/officeDocument/2006/relationships/worksheet" Target="/xl/worksheets/sheet3.xml" Id="R65f615aab46d451d" /></Relationships>
</file>

<file path=xl/tables/table1.xml><?xml version="1.0" encoding="utf-8"?>
<x:table xmlns:x="http://schemas.openxmlformats.org/spreadsheetml/2006/main" id="1" name="OwnerDecisionInputs" displayName="OwnerDecisionInputs" ref="A1:M22" headerRowCount="1" totalsRowCount="0" totalsRowShown="0">
  <x:tableColumns count="13">
    <x:tableColumn id="1" name="ID"/>
    <x:tableColumn id="2" name="专业"/>
    <x:tableColumn id="3" name="优先级"/>
    <x:tableColumn id="4" name="阻塞无保留发布"/>
    <x:tableColumn id="5" name="需要你确认"/>
    <x:tableColumn id="6" name="常见候选（不等于确认）"/>
    <x:tableColumn id="7" name="你的确认值"/>
    <x:tableColumn id="8" name="单位"/>
    <x:tableColumn id="9" name="状态"/>
    <x:tableColumn id="10" name="证据/链接"/>
    <x:tableColumn id="11" name="现有依据"/>
    <x:tableColumn id="12" name="同步目标"/>
    <x:tableColumn id="13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plianceInputs" displayName="ApplianceInputs" ref="A1:R19" headerRowCount="1" totalsRowCount="0" totalsRowShown="0">
  <x:tableColumns count="18">
    <x:tableColumn id="1" name="设备ID"/>
    <x:tableColumn id="2" name="设备名称"/>
    <x:tableColumn id="3" name="类别"/>
    <x:tableColumn id="4" name="候选存放位置"/>
    <x:tableColumn id="5" name="候选使用位置"/>
    <x:tableColumn id="6" name="确认存放位置"/>
    <x:tableColumn id="7" name="确认使用位置"/>
    <x:tableColumn id="8" name="数量"/>
    <x:tableColumn id="9" name="额定功率(W)"/>
    <x:tableColumn id="10" name="同时使用组"/>
    <x:tableColumn id="11" name="需给水"/>
    <x:tableColumn id="12" name="需排水"/>
    <x:tableColumn id="13" name="需燃气"/>
    <x:tableColumn id="14" name="需通风"/>
    <x:tableColumn id="15" name="型号"/>
    <x:tableColumn id="16" name="证据/链接"/>
    <x:tableColumn id="17" name="状态"/>
    <x:tableColumn id="1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913728eea14a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5ae27b0f9140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 ht="34" customHeight="1">
      <x:c r="A1" s="25" t="str">
        <x:v>仁恒滨海湾｜施工输入清单</x:v>
      </x:c>
      <x:c r="B1" s="25"/>
      <x:c r="C1" s="25"/>
      <x:c r="D1" s="25"/>
      <x:c r="E1" s="25"/>
      <x:c r="F1" s="25"/>
      <x:c r="G1" s="25"/>
      <x:c r="H1" s="25"/>
    </x:row>
    <x:row r="2">
      <x:c r="A2" s="26"/>
      <x:c r="B2" s="26"/>
      <x:c r="C2" s="26"/>
      <x:c r="D2" s="26"/>
      <x:c r="E2" s="26"/>
      <x:c r="F2" s="26"/>
      <x:c r="G2" s="26"/>
      <x:c r="H2" s="26"/>
    </x:row>
    <x:row r="3" ht="34" customHeight="1">
      <x:c r="A3" s="27" t="str">
        <x:v>只填写黄色单元格。灰色候选值不是确认；如接受候选，请把状态改为“采用候选”。</x:v>
      </x:c>
      <x:c r="B3" s="27"/>
      <x:c r="C3" s="27"/>
      <x:c r="D3" s="27"/>
      <x:c r="E3" s="27"/>
      <x:c r="F3" s="27"/>
      <x:c r="G3" s="27"/>
      <x:c r="H3" s="27"/>
    </x:row>
    <x:row r="4">
      <x:c r="A4" s="26"/>
      <x:c r="B4" s="26"/>
      <x:c r="C4" s="26"/>
      <x:c r="D4" s="26"/>
      <x:c r="E4" s="26"/>
      <x:c r="F4" s="26"/>
      <x:c r="G4" s="26"/>
      <x:c r="H4" s="26"/>
    </x:row>
    <x:row r="5">
      <x:c r="A5" s="28" t="str">
        <x:v>填写步骤</x:v>
      </x:c>
      <x:c r="B5" s="29" t="str">
        <x:v>说明</x:v>
      </x:c>
      <x:c r="C5" s="26"/>
      <x:c r="D5" s="26"/>
      <x:c r="E5" s="26"/>
      <x:c r="F5" s="26"/>
      <x:c r="G5" s="26"/>
      <x:c r="H5" s="26"/>
    </x:row>
    <x:row r="6">
      <x:c r="A6" s="30" t="str">
        <x:v>1</x:v>
      </x:c>
      <x:c r="B6" s="31" t="str">
        <x:v>先完成“设计决策”中的 P0 行：填写你的确认值、状态和证据/链接。</x:v>
      </x:c>
      <x:c r="C6" s="26"/>
      <x:c r="D6" s="26"/>
      <x:c r="E6" s="26"/>
      <x:c r="F6" s="26"/>
      <x:c r="G6" s="26"/>
      <x:c r="H6" s="26"/>
    </x:row>
    <x:row r="7">
      <x:c r="A7" s="30" t="str">
        <x:v>2</x:v>
      </x:c>
      <x:c r="B7" s="31" t="str">
        <x:v>在“家电清单”中分别填写确认存放位置与确认使用位置，不要混为一列。</x:v>
      </x:c>
      <x:c r="C7" s="26"/>
      <x:c r="D7" s="26"/>
      <x:c r="E7" s="26"/>
      <x:c r="F7" s="26"/>
      <x:c r="G7" s="26"/>
      <x:c r="H7" s="26"/>
    </x:row>
    <x:row r="8">
      <x:c r="A8" s="30" t="str">
        <x:v>3</x:v>
      </x:c>
      <x:c r="B8" s="31" t="str">
        <x:v>填写型号与铭牌额定功率；脚本按“同时使用组”汇总已知连接负荷。</x:v>
      </x:c>
      <x:c r="C8" s="26"/>
      <x:c r="D8" s="26"/>
      <x:c r="E8" s="26"/>
      <x:c r="F8" s="26"/>
      <x:c r="G8" s="26"/>
      <x:c r="H8" s="26"/>
    </x:row>
    <x:row r="9">
      <x:c r="A9" s="30" t="str">
        <x:v>4</x:v>
      </x:c>
      <x:c r="B9" s="31" t="str">
        <x:v>保存工作簿后交回 Codex；先跑 dry-run，确认差异后再 apply。</x:v>
      </x:c>
      <x:c r="C9" s="26"/>
      <x:c r="D9" s="26"/>
      <x:c r="E9" s="26"/>
      <x:c r="F9" s="26"/>
      <x:c r="G9" s="26"/>
      <x:c r="H9" s="26"/>
    </x:row>
    <x:row r="10">
      <x:c r="A10" s="32" t="str">
        <x:v>5</x:v>
      </x:c>
      <x:c r="B10" s="33" t="str">
        <x:v>同步不会直接修改正式 IFC；IFC 仍按独立 save/reload/机械 QA 批次执行。</x:v>
      </x:c>
      <x:c r="C10" s="26"/>
      <x:c r="D10" s="26"/>
      <x:c r="E10" s="26"/>
      <x:c r="F10" s="26"/>
      <x:c r="G10" s="26"/>
      <x:c r="H10" s="26"/>
    </x:row>
    <x:row r="11">
      <x:c r="A11" s="26"/>
      <x:c r="B11" s="26"/>
      <x:c r="C11" s="26"/>
      <x:c r="D11" s="26"/>
      <x:c r="E11" s="26"/>
      <x:c r="F11" s="26"/>
      <x:c r="G11" s="26"/>
      <x:c r="H11" s="26"/>
    </x:row>
    <x:row r="12">
      <x:c r="A12" s="34" t="str">
        <x:v>实时汇总</x:v>
      </x:c>
      <x:c r="B12" s="35" t="str">
        <x:v>数量</x:v>
      </x:c>
      <x:c r="C12" s="26"/>
      <x:c r="D12" s="26"/>
      <x:c r="E12" s="26"/>
      <x:c r="F12" s="26"/>
      <x:c r="G12" s="26"/>
      <x:c r="H12" s="26"/>
    </x:row>
    <x:row r="13">
      <x:c r="A13" s="36" t="str">
        <x:v>设计决策总数</x:v>
      </x:c>
      <x:c r="B13" s="37" t="n">
        <x:f>COUNTA('设计决策'!A2:A22)</x:f>
        <x:v>21</x:v>
      </x:c>
      <x:c r="C13" s="26"/>
      <x:c r="D13" s="26"/>
      <x:c r="E13" s="26"/>
      <x:c r="F13" s="26"/>
      <x:c r="G13" s="26"/>
      <x:c r="H13" s="26"/>
    </x:row>
    <x:row r="14">
      <x:c r="A14" s="36" t="str">
        <x:v>仍阻塞无保留发布</x:v>
      </x:c>
      <x:c r="B14" s="37" t="n">
        <x:f>COUNTIFS('设计决策'!D2:D22,"yes",'设计决策'!I2:I22,"&lt;&gt;采用候选",'设计决策'!I2:I22,"&lt;&gt;自定义确认",'设计决策'!I2:I22,"&lt;&gt;不适用")</x:f>
        <x:v>21</x:v>
      </x:c>
      <x:c r="C14" s="26"/>
      <x:c r="D14" s="26"/>
      <x:c r="E14" s="26"/>
      <x:c r="F14" s="26"/>
      <x:c r="G14" s="26"/>
      <x:c r="H14" s="26"/>
    </x:row>
    <x:row r="15">
      <x:c r="A15" s="36" t="str">
        <x:v>家电条目总数</x:v>
      </x:c>
      <x:c r="B15" s="37" t="n">
        <x:f>COUNTA('家电清单'!A2:A19)</x:f>
        <x:v>18</x:v>
      </x:c>
      <x:c r="C15" s="26"/>
      <x:c r="D15" s="26"/>
      <x:c r="E15" s="26"/>
      <x:c r="F15" s="26"/>
      <x:c r="G15" s="26"/>
      <x:c r="H15" s="26"/>
    </x:row>
    <x:row r="16">
      <x:c r="A16" s="38" t="str">
        <x:v>家电已确认</x:v>
      </x:c>
      <x:c r="B16" s="39" t="n">
        <x:f>COUNTIF('家电清单'!Q2:Q19,"已确认")</x:f>
        <x:v>0</x:v>
      </x:c>
      <x:c r="C16" s="26"/>
      <x:c r="D16" s="26"/>
      <x:c r="E16" s="26"/>
      <x:c r="F16" s="26"/>
      <x:c r="G16" s="26"/>
      <x:c r="H16" s="26"/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0" hidden="0" customWidth="1"/>
    <x:col min="4" max="4" width="10" hidden="0" customWidth="1"/>
    <x:col min="5" max="5" width="42" hidden="0" customWidth="1"/>
    <x:col min="6" max="6" width="48" hidden="0" customWidth="1"/>
    <x:col min="7" max="7" width="30" hidden="0" customWidth="1"/>
    <x:col min="8" max="8" width="10" hidden="0" customWidth="1"/>
    <x:col min="9" max="9" width="14" hidden="0" customWidth="1"/>
    <x:col min="10" max="10" width="30" hidden="0" customWidth="1"/>
    <x:col min="11" max="11" width="42" hidden="0" customWidth="1"/>
    <x:col min="12" max="12" width="24" hidden="0" customWidth="1"/>
    <x:col min="13" max="13" width="36" hidden="0" customWidth="1"/>
  </x:cols>
  <x:sheetData>
    <x:row r="1" ht="38" customHeight="1">
      <x:c r="A1" s="44" t="str">
        <x:v>ID</x:v>
      </x:c>
      <x:c r="B1" s="44" t="str">
        <x:v>专业</x:v>
      </x:c>
      <x:c r="C1" s="44" t="str">
        <x:v>优先级</x:v>
      </x:c>
      <x:c r="D1" s="44" t="str">
        <x:v>阻塞无保留发布</x:v>
      </x:c>
      <x:c r="E1" s="44" t="str">
        <x:v>需要你确认</x:v>
      </x:c>
      <x:c r="F1" s="44" t="str">
        <x:v>常见候选（不等于确认）</x:v>
      </x:c>
      <x:c r="G1" s="44" t="str">
        <x:v>你的确认值</x:v>
      </x:c>
      <x:c r="H1" s="44" t="str">
        <x:v>单位</x:v>
      </x:c>
      <x:c r="I1" s="44" t="str">
        <x:v>状态</x:v>
      </x:c>
      <x:c r="J1" s="44" t="str">
        <x:v>证据/链接</x:v>
      </x:c>
      <x:c r="K1" s="44" t="str">
        <x:v>现有依据</x:v>
      </x:c>
      <x:c r="L1" s="44" t="str">
        <x:v>同步目标</x:v>
      </x:c>
      <x:c r="M1" s="44" t="str">
        <x:v>备注</x:v>
      </x:c>
    </x:row>
    <x:row r="2" ht="78" customHeight="1">
      <x:c r="A2" s="40" t="str">
        <x:v>A104-M07-EVIDENCE</x:v>
      </x:c>
      <x:c r="B2" s="40" t="str">
        <x:v>A-104/E-302</x:v>
      </x:c>
      <x:c r="C2" s="40" t="str">
        <x:v>P0</x:v>
      </x:c>
      <x:c r="D2" s="40" t="str">
        <x:v>yes</x:v>
      </x:c>
      <x:c r="E2" s="47" t="str">
        <x:v>请提供 M07 项目 CAD/订单技术图，确认门外侧定义、实际左/右开、门洞尺寸及柜体/墙体安装关系</x:v>
      </x:c>
      <x:c r="F2" s="48" t="str">
        <x:v>Master A（门扇开启后贴墙侧）</x:v>
      </x:c>
      <x:c r="G2" s="49" t="str">
        <x:v>Master A</x:v>
      </x:c>
      <x:c r="H2" s="47" t="str"/>
      <x:c r="I2" s="49" t="str">
        <x:v>需证据</x:v>
      </x:c>
      <x:c r="J2" s="49" t="str">
        <x:v>https://www.poliform.it/en/products/pivot/
https://s3.poliform.it/2025/04/Poliform_Architectural_2024.pdf</x:v>
      </x:c>
      <x:c r="K2" s="47" t="str">
        <x:v>用户已确认 Master A，并指定 Poliform Pivot：衣柜与墙之间，独立式衣柜 + 墙装 Pivot；官方资料证明左右开均可，但不证明 M07 实际方向</x:v>
      </x:c>
      <x:c r="L2" s="47" t="str">
        <x:v>A104-R03;E302-MASTER-SIDE</x:v>
      </x:c>
      <x:c r="M2" s="47" t="str">
        <x:v>官方技术册 PDF 55–57 页（印刷页 106–111）包含“Pivot between wardrobe and wall”“freestanding wardrobe and wall mounted Pivot”，并规定单扇门开启方向须从门外侧判断。产品页资源下载需注册；当前仍缺项目 CAD/订单技术图，故保留“需证据”，不把 Master A 扩大为已冻结施工方向。</x:v>
      </x:c>
    </x:row>
    <x:row r="3" ht="54" customHeight="1">
      <x:c r="A3" s="40" t="str">
        <x:v>E302-ENTRY-SIDE</x:v>
      </x:c>
      <x:c r="B3" s="40" t="str">
        <x:v>E-302</x:v>
      </x:c>
      <x:c r="C3" s="40" t="str">
        <x:v>P0</x:v>
      </x:c>
      <x:c r="D3" s="40" t="str">
        <x:v>yes</x:v>
      </x:c>
      <x:c r="E3" s="47" t="str">
        <x:v>入户控制面板最终采用 Entry A 还是 Entry B</x:v>
      </x:c>
      <x:c r="F3" s="48" t="str">
        <x:v>Entry A（靠进入后顺手侧且避开门扇/门套）</x:v>
      </x:c>
      <x:c r="G3" s="49" t="str"/>
      <x:c r="H3" s="47" t="str"/>
      <x:c r="I3" s="49" t="str">
        <x:v>待填写</x:v>
      </x:c>
      <x:c r="J3" s="49" t="str"/>
      <x:c r="K3" s="47" t="str">
        <x:v>门口控制应位于真实墙面并满足门扇和柜门操作</x:v>
      </x:c>
      <x:c r="L3" s="47" t="str">
        <x:v>E302 entry control</x:v>
      </x:c>
      <x:c r="M3" s="47" t="str">
        <x:v>需结合现场开门方向和门套净宽</x:v>
      </x:c>
    </x:row>
    <x:row r="4" ht="54" customHeight="1">
      <x:c r="A4" s="40" t="str">
        <x:v>E302-ENTRY-PANEL</x:v>
      </x:c>
      <x:c r="B4" s="40" t="str">
        <x:v>E-302</x:v>
      </x:c>
      <x:c r="C4" s="40" t="str">
        <x:v>P0</x:v>
      </x:c>
      <x:c r="D4" s="40" t="str">
        <x:v>yes</x:v>
      </x:c>
      <x:c r="E4" s="47" t="str">
        <x:v>入户面板包含哪些键以及采用一块还是分组面板</x:v>
      </x:c>
      <x:c r="F4" s="48" t="str">
        <x:v>客厅双控；书房双控；餐厅双控；照明总控，优先一体四位或相邻同高分组</x:v>
      </x:c>
      <x:c r="G4" s="49" t="str"/>
      <x:c r="H4" s="47" t="str"/>
      <x:c r="I4" s="49" t="str">
        <x:v>待填写</x:v>
      </x:c>
      <x:c r="J4" s="49" t="str"/>
      <x:c r="K4" s="47" t="str">
        <x:v>已确认三组双控和入户照明总控均为实体有线控制</x:v>
      </x:c>
      <x:c r="L4" s="47" t="str">
        <x:v>E302 entry panel</x:v>
      </x:c>
      <x:c r="M4" s="47" t="str">
        <x:v>总控不得切断冰箱/网络/安防等持续供电</x:v>
      </x:c>
    </x:row>
    <x:row r="5" ht="54" customHeight="1">
      <x:c r="A5" s="40" t="str">
        <x:v>E302-MASTER-SIDE</x:v>
      </x:c>
      <x:c r="B5" s="40" t="str">
        <x:v>E-302</x:v>
      </x:c>
      <x:c r="C5" s="40" t="str">
        <x:v>P0</x:v>
      </x:c>
      <x:c r="D5" s="40" t="str">
        <x:v>yes</x:v>
      </x:c>
      <x:c r="E5" s="47" t="str">
        <x:v>主卧门口控制面板最终墙侧</x:v>
      </x:c>
      <x:c r="F5" s="48" t="str">
        <x:v>Master A</x:v>
      </x:c>
      <x:c r="G5" s="49" t="str">
        <x:v>Master A</x:v>
      </x:c>
      <x:c r="H5" s="47" t="str"/>
      <x:c r="I5" s="49" t="str">
        <x:v>需证据</x:v>
      </x:c>
      <x:c r="J5" s="49" t="str"/>
      <x:c r="K5" s="47" t="str">
        <x:v>用户明确 Master A 更好；仍依赖 A104-M07-EVIDENCE</x:v>
      </x:c>
      <x:c r="L5" s="47" t="str">
        <x:v>E302 master control</x:v>
      </x:c>
      <x:c r="M5" s="47" t="str">
        <x:v>证据关闭后才可冻结</x:v>
      </x:c>
    </x:row>
    <x:row r="6" ht="54" customHeight="1">
      <x:c r="A6" s="40" t="str">
        <x:v>E302-MASTER-PANEL</x:v>
      </x:c>
      <x:c r="B6" s="40" t="str">
        <x:v>E-302</x:v>
      </x:c>
      <x:c r="C6" s="40" t="str">
        <x:v>P0</x:v>
      </x:c>
      <x:c r="D6" s="40" t="str">
        <x:v>yes</x:v>
      </x:c>
      <x:c r="E6" s="47" t="str">
        <x:v>主卧门口面板具体键序</x:v>
      </x:c>
      <x:c r="F6" s="48" t="str">
        <x:v>客厅双控；书房双控；餐厅双控，常用键靠近门侧</x:v>
      </x:c>
      <x:c r="G6" s="49" t="str"/>
      <x:c r="H6" s="47" t="str"/>
      <x:c r="I6" s="49" t="str">
        <x:v>待填写</x:v>
      </x:c>
      <x:c r="J6" s="49" t="str"/>
      <x:c r="K6" s="47" t="str">
        <x:v>已确认三组双控需求但每键标签和键序未关闭</x:v>
      </x:c>
      <x:c r="L6" s="47" t="str">
        <x:v>E302 master panel</x:v>
      </x:c>
      <x:c r="M6" s="47" t="str">
        <x:v>面板底边候选为完成地面上 1300 mm</x:v>
      </x:c>
    </x:row>
    <x:row r="7" ht="54" customHeight="1">
      <x:c r="A7" s="40" t="str">
        <x:v>E303-NS01-FORM</x:v>
      </x:c>
      <x:c r="B7" s="40" t="str">
        <x:v>E-303</x:v>
      </x:c>
      <x:c r="C7" s="40" t="str">
        <x:v>P0</x:v>
      </x:c>
      <x:c r="D7" s="40" t="str">
        <x:v>yes</x:v>
      </x:c>
      <x:c r="E7" s="47" t="str">
        <x:v>岛台 NS-01 采用何种插座型式及安装面</x:v>
      </x:c>
      <x:c r="F7" s="48" t="str">
        <x:v>岛台端板固定插座；避免台面弹起式；根据实际同时使用负荷决定 10A/16A 与孔位数</x:v>
      </x:c>
      <x:c r="G7" s="49" t="str"/>
      <x:c r="H7" s="47" t="str"/>
      <x:c r="I7" s="49" t="str">
        <x:v>待填写</x:v>
      </x:c>
      <x:c r="J7" s="49" t="str"/>
      <x:c r="K7" s="47" t="str">
        <x:v>用户明确用于火锅/搅拌机/sous-vide 等移动厨电</x:v>
      </x:c>
      <x:c r="L7" s="47" t="str">
        <x:v>E303 NS-01</x:v>
      </x:c>
      <x:c r="M7" s="47" t="str">
        <x:v>最终由家电表额定功率和同时使用组计算</x:v>
      </x:c>
    </x:row>
    <x:row r="8" ht="54" customHeight="1">
      <x:c r="A8" s="40" t="str">
        <x:v>E303-NS01-CIRCUIT</x:v>
      </x:c>
      <x:c r="B8" s="40" t="str">
        <x:v>E-303</x:v>
      </x:c>
      <x:c r="C8" s="40" t="str">
        <x:v>P0</x:v>
      </x:c>
      <x:c r="D8" s="40" t="str">
        <x:v>yes</x:v>
      </x:c>
      <x:c r="E8" s="47" t="str">
        <x:v>岛台移动厨电是否允许同时使用</x:v>
      </x:c>
      <x:c r="F8" s="48" t="str">
        <x:v>默认按火锅与一件小厨电可能同时使用；若总功率超过单回路容量则拆分回路</x:v>
      </x:c>
      <x:c r="G8" s="49" t="str"/>
      <x:c r="H8" s="47" t="str"/>
      <x:c r="I8" s="49" t="str">
        <x:v>待填写</x:v>
      </x:c>
      <x:c r="J8" s="49" t="str"/>
      <x:c r="K8" s="47" t="str">
        <x:v>使用场景已确认但设备型号和额定功率未提供</x:v>
      </x:c>
      <x:c r="L8" s="47" t="str">
        <x:v>E303 NS-01 load</x:v>
      </x:c>
      <x:c r="M8" s="47" t="str">
        <x:v>脚本只汇总负荷不自动确定保护器规格</x:v>
      </x:c>
    </x:row>
    <x:row r="9" ht="54" customHeight="1">
      <x:c r="A9" s="40" t="str">
        <x:v>E303-NS02-FORM</x:v>
      </x:c>
      <x:c r="B9" s="40" t="str">
        <x:v>E-303</x:v>
      </x:c>
      <x:c r="C9" s="40" t="str">
        <x:v>P0</x:v>
      </x:c>
      <x:c r="D9" s="40" t="str">
        <x:v>yes</x:v>
      </x:c>
      <x:c r="E9" s="47" t="str">
        <x:v>餐边柜 NS-02 插座数量与安装型式</x:v>
      </x:c>
      <x:c r="F9" s="48" t="str">
        <x:v>咖啡机/手冲壶/磨豆机三设备位；固定墙面或柜上方插座并预留至少一个备用位</x:v>
      </x:c>
      <x:c r="G9" s="49" t="str"/>
      <x:c r="H9" s="47" t="str"/>
      <x:c r="I9" s="49" t="str">
        <x:v>待填写</x:v>
      </x:c>
      <x:c r="J9" s="49" t="str"/>
      <x:c r="K9" s="47" t="str">
        <x:v>用户明确实际使用场景为咖啡机/手冲壶/磨豆机</x:v>
      </x:c>
      <x:c r="L9" s="47" t="str">
        <x:v>E303 NS-02</x:v>
      </x:c>
      <x:c r="M9" s="47" t="str">
        <x:v>需结合餐边柜立面和线缆遮挡</x:v>
      </x:c>
    </x:row>
    <x:row r="10" ht="54" customHeight="1">
      <x:c r="A10" s="40" t="str">
        <x:v>E303-NS02-CIRCUIT</x:v>
      </x:c>
      <x:c r="B10" s="40" t="str">
        <x:v>E-303</x:v>
      </x:c>
      <x:c r="C10" s="40" t="str">
        <x:v>P0</x:v>
      </x:c>
      <x:c r="D10" s="40" t="str">
        <x:v>yes</x:v>
      </x:c>
      <x:c r="E10" s="47" t="str">
        <x:v>咖啡机与电热水壶是否会同时使用</x:v>
      </x:c>
      <x:c r="F10" s="48" t="str">
        <x:v>默认按可能同时使用核算；以铭牌功率决定一回路或分回路</x:v>
      </x:c>
      <x:c r="G10" s="49" t="str"/>
      <x:c r="H10" s="47" t="str"/>
      <x:c r="I10" s="49" t="str">
        <x:v>待填写</x:v>
      </x:c>
      <x:c r="J10" s="49" t="str"/>
      <x:c r="K10" s="47" t="str">
        <x:v>咖啡设备存放位置不等于实际使用位置</x:v>
      </x:c>
      <x:c r="L10" s="47" t="str">
        <x:v>E303 NS-02 load</x:v>
      </x:c>
      <x:c r="M10" s="47" t="str">
        <x:v>脚本只汇总负荷不虚构产品功率</x:v>
      </x:c>
    </x:row>
    <x:row r="11" ht="54" customHeight="1">
      <x:c r="A11" s="40" t="str">
        <x:v>E304-GATEWAY-IDENTITY</x:v>
      </x:c>
      <x:c r="B11" s="40" t="str">
        <x:v>E-304</x:v>
      </x:c>
      <x:c r="C11" s="40" t="str">
        <x:v>P0</x:v>
      </x:c>
      <x:c r="D11" s="40" t="str">
        <x:v>yes</x:v>
      </x:c>
      <x:c r="E11" s="47" t="str">
        <x:v>弱电箱内 Huawei 设备的准确型号与功能是什么</x:v>
      </x:c>
      <x:c r="F11" s="48" t="str">
        <x:v>拍摄设备底部铭牌；分别确认光猫/路由器/AP/运营商网关角色</x:v>
      </x:c>
      <x:c r="G11" s="49" t="str"/>
      <x:c r="H11" s="47" t="str"/>
      <x:c r="I11" s="49" t="str">
        <x:v>需证据</x:v>
      </x:c>
      <x:c r="J11" s="49" t="str"/>
      <x:c r="K11" s="47" t="str">
        <x:v>现场照片只证明现有 Huawei 联通智家设备在箱内运行</x:v>
      </x:c>
      <x:c r="L11" s="47" t="str">
        <x:v>E304 equipment register</x:v>
      </x:c>
      <x:c r="M11" s="47" t="str">
        <x:v>未取证前不得锁定网络功能</x:v>
      </x:c>
    </x:row>
    <x:row r="12" ht="54" customHeight="1">
      <x:c r="A12" s="40" t="str">
        <x:v>E304-CABINET-DIMENSIONS</x:v>
      </x:c>
      <x:c r="B12" s="40" t="str">
        <x:v>E-304</x:v>
      </x:c>
      <x:c r="C12" s="40" t="str">
        <x:v>P0</x:v>
      </x:c>
      <x:c r="D12" s="40" t="str">
        <x:v>yes</x:v>
      </x:c>
      <x:c r="E12" s="47" t="str">
        <x:v>请填写弱电箱和所在柜格的净宽×净高×净深</x:v>
      </x:c>
      <x:c r="F12" s="48" t="str">
        <x:v>现场实测三向净尺寸</x:v>
      </x:c>
      <x:c r="G12" s="49" t="str"/>
      <x:c r="H12" s="47" t="str">
        <x:v>mm</x:v>
      </x:c>
      <x:c r="I12" s="49" t="str">
        <x:v>待填写</x:v>
      </x:c>
      <x:c r="J12" s="49" t="str"/>
      <x:c r="K12" s="47" t="str">
        <x:v>官方 CAD 和现场照片已确认位置但没有净尺寸</x:v>
      </x:c>
      <x:c r="L12" s="47" t="str">
        <x:v>E304 cabinet</x:v>
      </x:c>
      <x:c r="M12" s="47" t="str">
        <x:v>同时记录柜门关闭后的可用空间</x:v>
      </x:c>
    </x:row>
    <x:row r="13" ht="54" customHeight="1">
      <x:c r="A13" s="40" t="str">
        <x:v>E304-CABINET-VENTILATION</x:v>
      </x:c>
      <x:c r="B13" s="40" t="str">
        <x:v>E-304</x:v>
      </x:c>
      <x:c r="C13" s="40" t="str">
        <x:v>P0</x:v>
      </x:c>
      <x:c r="D13" s="40" t="str">
        <x:v>yes</x:v>
      </x:c>
      <x:c r="E13" s="47" t="str">
        <x:v>柜门关闭时是否有通风孔/缝及设备持续运行温升</x:v>
      </x:c>
      <x:c r="F13" s="48" t="str">
        <x:v>关闭柜门运行 2 小时后记录箱内或设备表面温度；拍摄通风条件</x:v>
      </x:c>
      <x:c r="G13" s="49" t="str"/>
      <x:c r="H13" s="47" t="str">
        <x:v>°C</x:v>
      </x:c>
      <x:c r="I13" s="49" t="str">
        <x:v>待填写</x:v>
      </x:c>
      <x:c r="J13" s="49" t="str"/>
      <x:c r="K13" s="47" t="str">
        <x:v>现有设备实际在弱电箱内部运行</x:v>
      </x:c>
      <x:c r="L13" s="47" t="str">
        <x:v>E304 thermal review</x:v>
      </x:c>
      <x:c r="M13" s="47" t="str">
        <x:v>温升不合格时再评估移至非金属通风层板</x:v>
      </x:c>
    </x:row>
    <x:row r="14" ht="54" customHeight="1">
      <x:c r="A14" s="40" t="str">
        <x:v>E304-CABLE-CONTINUITY</x:v>
      </x:c>
      <x:c r="B14" s="40" t="str">
        <x:v>E-304</x:v>
      </x:c>
      <x:c r="C14" s="40" t="str">
        <x:v>P0</x:v>
      </x:c>
      <x:c r="D14" s="40" t="str">
        <x:v>yes</x:v>
      </x:c>
      <x:c r="E14" s="47" t="str">
        <x:v>三根橙色网线分别通往哪个房间/面板</x:v>
      </x:c>
      <x:c r="F14" s="48" t="str">
        <x:v>逐根用测线仪确认客厅/次卧/主卧并记录两端标签</x:v>
      </x:c>
      <x:c r="G14" s="49" t="str"/>
      <x:c r="H14" s="47" t="str"/>
      <x:c r="I14" s="49" t="str">
        <x:v>待填写</x:v>
      </x:c>
      <x:c r="J14" s="49" t="str"/>
      <x:c r="K14" s="47" t="str">
        <x:v>照片标签只是候选不能替代通断测试</x:v>
      </x:c>
      <x:c r="L14" s="47" t="str">
        <x:v>E304 port map</x:v>
      </x:c>
      <x:c r="M14" s="47" t="str">
        <x:v>允许增加其他实测线缆行到证据备注</x:v>
      </x:c>
    </x:row>
    <x:row r="15" ht="54" customHeight="1">
      <x:c r="A15" s="40" t="str">
        <x:v>E304-AP-POWER</x:v>
      </x:c>
      <x:c r="B15" s="40" t="str">
        <x:v>E-304</x:v>
      </x:c>
      <x:c r="C15" s="40" t="str">
        <x:v>P0</x:v>
      </x:c>
      <x:c r="D15" s="40" t="str">
        <x:v>yes</x:v>
      </x:c>
      <x:c r="E15" s="47" t="str">
        <x:v>主卧和次卧 AP 采用 PoE 还是本地电源</x:v>
      </x:c>
      <x:c r="F15" s="48" t="str">
        <x:v>PoE 优先；弱电箱设置 PoE 交换机或 PoE 路由端口</x:v>
      </x:c>
      <x:c r="G15" s="49" t="str"/>
      <x:c r="H15" s="47" t="str"/>
      <x:c r="I15" s="49" t="str">
        <x:v>待填写</x:v>
      </x:c>
      <x:c r="J15" s="49" t="str"/>
      <x:c r="K15" s="47" t="str">
        <x:v>卧室 AP 点位已有平面/标高候选但供电方式未关闭</x:v>
      </x:c>
      <x:c r="L15" s="47" t="str">
        <x:v>E304 AP topology</x:v>
      </x:c>
      <x:c r="M15" s="47" t="str">
        <x:v>最终取决于 AP 产品型号</x:v>
      </x:c>
    </x:row>
    <x:row r="16" ht="54" customHeight="1">
      <x:c r="A16" s="40" t="str">
        <x:v>A106-FIRE-TYPE</x:v>
      </x:c>
      <x:c r="B16" s="40" t="str">
        <x:v>A-106</x:v>
      </x:c>
      <x:c r="C16" s="40" t="str">
        <x:v>P0</x:v>
      </x:c>
      <x:c r="D16" s="40" t="str">
        <x:v>yes</x:v>
      </x:c>
      <x:c r="E16" s="47" t="str">
        <x:v>厨房已确认点位最终采用感温/感烟/复合探测器及产品</x:v>
      </x:c>
      <x:c r="F16" s="48" t="str">
        <x:v>厨房油烟环境下感温优先作为协调候选；最终由消防/设备方确认</x:v>
      </x:c>
      <x:c r="G16" s="49" t="str"/>
      <x:c r="H16" s="47" t="str"/>
      <x:c r="I16" s="49" t="str">
        <x:v>需证据</x:v>
      </x:c>
      <x:c r="J16" s="49" t="str"/>
      <x:c r="K16" s="47" t="str">
        <x:v>正式 IFC 只确认 IfcSensor/FIRESENSOR 点位未确认产品</x:v>
      </x:c>
      <x:c r="L16" s="47" t="str">
        <x:v>A106-FIRE-R04</x:v>
      </x:c>
      <x:c r="M16" s="47" t="str">
        <x:v>不得把候选类型或尺寸写成正式产品</x:v>
      </x:c>
    </x:row>
    <x:row r="17" ht="54" customHeight="1">
      <x:c r="A17" s="40" t="str">
        <x:v>A106-GAS-ALARM</x:v>
      </x:c>
      <x:c r="B17" s="40" t="str">
        <x:v>A-106</x:v>
      </x:c>
      <x:c r="C17" s="40" t="str">
        <x:v>P1</x:v>
      </x:c>
      <x:c r="D17" s="40" t="str">
        <x:v>yes</x:v>
      </x:c>
      <x:c r="E17" s="47" t="str">
        <x:v>燃气报警器型号/供电/通信/燃气公司安装条件</x:v>
      </x:c>
      <x:c r="F17" s="48" t="str">
        <x:v>先向燃气公司确认允许型号与距灶具/阀门/顶棚要求</x:v>
      </x:c>
      <x:c r="G17" s="49" t="str"/>
      <x:c r="H17" s="47" t="str"/>
      <x:c r="I17" s="49" t="str">
        <x:v>需证据</x:v>
      </x:c>
      <x:c r="J17" s="49" t="str"/>
      <x:c r="K17" s="47" t="str">
        <x:v>当前只有需求和候选包络</x:v>
      </x:c>
      <x:c r="L17" s="47" t="str">
        <x:v>A106 gas alarm</x:v>
      </x:c>
      <x:c r="M17" s="47" t="str">
        <x:v>型号确认前不得锁定开孔</x:v>
      </x:c>
    </x:row>
    <x:row r="18" ht="54" customHeight="1">
      <x:c r="A18" s="40" t="str">
        <x:v>WFIN-WHITE-SYSTEM</x:v>
      </x:c>
      <x:c r="B18" s="40" t="str">
        <x:v>WFIN/DET1</x:v>
      </x:c>
      <x:c r="C18" s="40" t="str">
        <x:v>P1</x:v>
      </x:c>
      <x:c r="D18" s="40" t="str">
        <x:v>yes</x:v>
      </x:c>
      <x:c r="E18" s="47" t="str">
        <x:v>大白墙最终涂料体系/色号/光泽/完成面总厚</x:v>
      </x:c>
      <x:c r="F18" s="48" t="str">
        <x:v>耐擦洗哑光乳胶漆体系作为比较候选，不代表选定产品</x:v>
      </x:c>
      <x:c r="G18" s="49" t="str"/>
      <x:c r="H18" s="47" t="str">
        <x:v>mm</x:v>
      </x:c>
      <x:c r="I18" s="49" t="str">
        <x:v>暂缓</x:v>
      </x:c>
      <x:c r="J18" s="49" t="str"/>
      <x:c r="K18" s="47" t="str">
        <x:v>用户要求统一选材时处理</x:v>
      </x:c>
      <x:c r="L18" s="47" t="str">
        <x:v>WFIN-R03</x:v>
      </x:c>
      <x:c r="M18" s="47" t="str">
        <x:v>选择前保持当前大白墙意图</x:v>
      </x:c>
    </x:row>
    <x:row r="19" ht="54" customHeight="1">
      <x:c r="A19" s="40" t="str">
        <x:v>WFIN-TADELAKT</x:v>
      </x:c>
      <x:c r="B19" s="40" t="str">
        <x:v>WFIN/DET1</x:v>
      </x:c>
      <x:c r="C19" s="40" t="str">
        <x:v>P1</x:v>
      </x:c>
      <x:c r="D19" s="40" t="str">
        <x:v>yes</x:v>
      </x:c>
      <x:c r="E19" s="47" t="str">
        <x:v>Tadelakt 最终产品系统/颜色/厚度/基层/湿区防水收口</x:v>
      </x:c>
      <x:c r="F19" s="48" t="str">
        <x:v>以完整厂家系统和湿区节点样板为选择条件</x:v>
      </x:c>
      <x:c r="G19" s="49" t="str"/>
      <x:c r="H19" s="47" t="str">
        <x:v>mm</x:v>
      </x:c>
      <x:c r="I19" s="49" t="str">
        <x:v>暂缓</x:v>
      </x:c>
      <x:c r="J19" s="49" t="str"/>
      <x:c r="K19" s="47" t="str">
        <x:v>当前仅确认材料意图未确认产品体系</x:v>
      </x:c>
      <x:c r="L19" s="47" t="str">
        <x:v>WFIN-R02</x:v>
      </x:c>
      <x:c r="M19" s="47" t="str">
        <x:v>不得仅凭效果图替代施工参数</x:v>
      </x:c>
    </x:row>
    <x:row r="20" ht="54" customHeight="1">
      <x:c r="A20" s="40" t="str">
        <x:v>RCP1-HVAC-PORTS</x:v>
      </x:c>
      <x:c r="B20" s="40" t="str">
        <x:v>RCP1</x:v>
      </x:c>
      <x:c r="C20" s="40" t="str">
        <x:v>P0</x:v>
      </x:c>
      <x:c r="D20" s="40" t="str">
        <x:v>yes</x:v>
      </x:c>
      <x:c r="E20" s="47" t="str">
        <x:v>请提供各空调型号的送回风口/冷媒气液管/冷凝水口坐标与方向</x:v>
      </x:c>
      <x:c r="F20" s="48" t="str">
        <x:v>厂家安装图或 BIM/DWG 接口图</x:v>
      </x:c>
      <x:c r="G20" s="49" t="str"/>
      <x:c r="H20" s="47" t="str"/>
      <x:c r="I20" s="49" t="str">
        <x:v>需证据</x:v>
      </x:c>
      <x:c r="J20" s="49" t="str"/>
      <x:c r="K20" s="47" t="str">
        <x:v>机位和路线骨架已确认但精确端口坐标尚无批准证据</x:v>
      </x:c>
      <x:c r="L20" s="47" t="str">
        <x:v>RCP1C interfaces</x:v>
      </x:c>
      <x:c r="M20" s="47" t="str">
        <x:v>缺资料时只保留路线预览</x:v>
      </x:c>
    </x:row>
    <x:row r="21" ht="54" customHeight="1">
      <x:c r="A21" s="40" t="str">
        <x:v>PLUM-ROUGHINS</x:v>
      </x:c>
      <x:c r="B21" s="40" t="str">
        <x:v>PLUM/INT1</x:v>
      </x:c>
      <x:c r="C21" s="40" t="str">
        <x:v>P0</x:v>
      </x:c>
      <x:c r="D21" s="40" t="str">
        <x:v>yes</x:v>
      </x:c>
      <x:c r="E21" s="47" t="str">
        <x:v>厨房和洁具设备的给水/排水/热水/电源粗装尺寸依据</x:v>
      </x:c>
      <x:c r="F21" s="48" t="str">
        <x:v>按最终产品逐台收集安装图；存放位置不得代替使用和接口位置</x:v>
      </x:c>
      <x:c r="G21" s="49" t="str"/>
      <x:c r="H21" s="47" t="str"/>
      <x:c r="I21" s="49" t="str">
        <x:v>需证据</x:v>
      </x:c>
      <x:c r="J21" s="49" t="str"/>
      <x:c r="K21" s="47" t="str">
        <x:v>现有模型端点不是正式 IfcDistributionPort</x:v>
      </x:c>
      <x:c r="L21" s="47" t="str">
        <x:v>PLUM connection register</x:v>
      </x:c>
      <x:c r="M21" s="47" t="str">
        <x:v>先从家电清单筛选需要水/排水的设备</x:v>
      </x:c>
    </x:row>
    <x:row r="22" ht="54" customHeight="1">
      <x:c r="A22" s="40" t="str">
        <x:v>DET1-WATERPROOF</x:v>
      </x:c>
      <x:c r="B22" s="40" t="str">
        <x:v>DET1</x:v>
      </x:c>
      <x:c r="C22" s="40" t="str">
        <x:v>P1</x:v>
      </x:c>
      <x:c r="D22" s="40" t="str">
        <x:v>yes</x:v>
      </x:c>
      <x:c r="E22" s="47" t="str">
        <x:v>厨房/卫生间防水体系、上翻高度和门口收口做法</x:v>
      </x:c>
      <x:c r="F22" s="48" t="str">
        <x:v>优先采用完整厂家体系并与地漏坡向/门槛高差一起审核</x:v>
      </x:c>
      <x:c r="G22" s="49" t="str"/>
      <x:c r="H22" s="47" t="str">
        <x:v>mm</x:v>
      </x:c>
      <x:c r="I22" s="49" t="str">
        <x:v>待填写</x:v>
      </x:c>
      <x:c r="J22" s="49" t="str"/>
      <x:c r="K22" s="47" t="str">
        <x:v>DET1 尚未开始且依赖 WFIN/A105/INT1</x:v>
      </x:c>
      <x:c r="L22" s="47" t="str">
        <x:v>DET1 details</x:v>
      </x:c>
      <x:c r="M22" s="47" t="str">
        <x:v>常见值只能作为候选不得替代项目做法</x:v>
      </x:c>
    </x:row>
  </x:sheetData>
  <x:conditionalFormatting sqref="I2:I22">
    <x:cfRule type="containsText" dxfId="0" priority="1" operator="containsText" text="采用候选"/>
    <x:cfRule type="containsText" dxfId="1" priority="2" operator="containsText" text="自定义确认"/>
    <x:cfRule type="containsText" dxfId="2" priority="3" operator="containsText" text="需证据"/>
  </x:conditionalFormatting>
  <x:dataValidations count="1">
    <x:dataValidation type="list" sqref="I2:I22">
      <x:formula1>"待填写,采用候选,自定义确认,需证据,暂缓,不适用"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913728eea14a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9" hidden="0" customWidth="1"/>
    <x:col min="9" max="9" width="14" hidden="0" customWidth="1"/>
    <x:col min="10" max="10" width="16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24" hidden="0" customWidth="1"/>
    <x:col min="16" max="16" width="28" hidden="0" customWidth="1"/>
    <x:col min="17" max="17" width="14" hidden="0" customWidth="1"/>
    <x:col min="18" max="18" width="36" hidden="0" customWidth="1"/>
  </x:cols>
  <x:sheetData>
    <x:row r="1" ht="38" customHeight="1">
      <x:c r="A1" s="44" t="str">
        <x:v>设备ID</x:v>
      </x:c>
      <x:c r="B1" s="44" t="str">
        <x:v>设备名称</x:v>
      </x:c>
      <x:c r="C1" s="44" t="str">
        <x:v>类别</x:v>
      </x:c>
      <x:c r="D1" s="44" t="str">
        <x:v>候选存放位置</x:v>
      </x:c>
      <x:c r="E1" s="44" t="str">
        <x:v>候选使用位置</x:v>
      </x:c>
      <x:c r="F1" s="44" t="str">
        <x:v>确认存放位置</x:v>
      </x:c>
      <x:c r="G1" s="44" t="str">
        <x:v>确认使用位置</x:v>
      </x:c>
      <x:c r="H1" s="44" t="str">
        <x:v>数量</x:v>
      </x:c>
      <x:c r="I1" s="44" t="str">
        <x:v>额定功率(W)</x:v>
      </x:c>
      <x:c r="J1" s="44" t="str">
        <x:v>同时使用组</x:v>
      </x:c>
      <x:c r="K1" s="44" t="str">
        <x:v>需给水</x:v>
      </x:c>
      <x:c r="L1" s="44" t="str">
        <x:v>需排水</x:v>
      </x:c>
      <x:c r="M1" s="44" t="str">
        <x:v>需燃气</x:v>
      </x:c>
      <x:c r="N1" s="44" t="str">
        <x:v>需通风</x:v>
      </x:c>
      <x:c r="O1" s="44" t="str">
        <x:v>型号</x:v>
      </x:c>
      <x:c r="P1" s="44" t="str">
        <x:v>证据/链接</x:v>
      </x:c>
      <x:c r="Q1" s="44" t="str">
        <x:v>状态</x:v>
      </x:c>
      <x:c r="R1" s="44" t="str">
        <x:v>备注</x:v>
      </x:c>
    </x:row>
    <x:row r="2" ht="42" customHeight="1">
      <x:c r="A2" s="47" t="str">
        <x:v>APP-001</x:v>
      </x:c>
      <x:c r="B2" s="47" t="str">
        <x:v>火锅电器</x:v>
      </x:c>
      <x:c r="C2" s="47" t="str">
        <x:v>移动厨电</x:v>
      </x:c>
      <x:c r="D2" s="48" t="str">
        <x:v>厨房柜内</x:v>
      </x:c>
      <x:c r="E2" s="48" t="str">
        <x:v>西厨岛台 NS-01</x:v>
      </x:c>
      <x:c r="F2" s="49" t="str"/>
      <x:c r="G2" s="49" t="str">
        <x:v>西厨岛台 NS-01</x:v>
      </x:c>
      <x:c r="H2" s="49" t="str">
        <x:v>1</x:v>
      </x:c>
      <x:c r="I2" s="49" t="str"/>
      <x:c r="J2" s="49" t="str">
        <x:v>NS01-A</x:v>
      </x:c>
      <x:c r="K2" s="49" t="str">
        <x:v>no</x:v>
      </x:c>
      <x:c r="L2" s="49" t="str">
        <x:v>no</x:v>
      </x:c>
      <x:c r="M2" s="49" t="str">
        <x:v>no</x:v>
      </x:c>
      <x:c r="N2" s="49" t="str">
        <x:v>no</x:v>
      </x:c>
      <x:c r="O2" s="49" t="str"/>
      <x:c r="P2" s="49" t="str"/>
      <x:c r="Q2" s="49" t="str">
        <x:v>部分确认</x:v>
      </x:c>
      <x:c r="R2" s="49" t="str">
        <x:v>实际使用位置已由用户说明；补型号与铭牌功率</x:v>
      </x:c>
    </x:row>
    <x:row r="3" ht="42" customHeight="1">
      <x:c r="A3" s="47" t="str">
        <x:v>APP-002</x:v>
      </x:c>
      <x:c r="B3" s="47" t="str">
        <x:v>搅拌机</x:v>
      </x:c>
      <x:c r="C3" s="47" t="str">
        <x:v>移动厨电</x:v>
      </x:c>
      <x:c r="D3" s="48" t="str">
        <x:v>厨房柜内</x:v>
      </x:c>
      <x:c r="E3" s="48" t="str">
        <x:v>西厨岛台 NS-01</x:v>
      </x:c>
      <x:c r="F3" s="49" t="str"/>
      <x:c r="G3" s="49" t="str">
        <x:v>西厨岛台 NS-01</x:v>
      </x:c>
      <x:c r="H3" s="49" t="str">
        <x:v>1</x:v>
      </x:c>
      <x:c r="I3" s="49" t="str"/>
      <x:c r="J3" s="49" t="str">
        <x:v>NS01-B</x:v>
      </x:c>
      <x:c r="K3" s="49" t="str">
        <x:v>no</x:v>
      </x:c>
      <x:c r="L3" s="49" t="str">
        <x:v>no</x:v>
      </x:c>
      <x:c r="M3" s="49" t="str">
        <x:v>no</x:v>
      </x:c>
      <x:c r="N3" s="49" t="str">
        <x:v>no</x:v>
      </x:c>
      <x:c r="O3" s="49" t="str"/>
      <x:c r="P3" s="49" t="str"/>
      <x:c r="Q3" s="49" t="str">
        <x:v>部分确认</x:v>
      </x:c>
      <x:c r="R3" s="49" t="str">
        <x:v>与火锅是否同时使用待确认</x:v>
      </x:c>
    </x:row>
    <x:row r="4" ht="42" customHeight="1">
      <x:c r="A4" s="47" t="str">
        <x:v>APP-003</x:v>
      </x:c>
      <x:c r="B4" s="47" t="str">
        <x:v>Sous-vide 棒</x:v>
      </x:c>
      <x:c r="C4" s="47" t="str">
        <x:v>移动厨电</x:v>
      </x:c>
      <x:c r="D4" s="48" t="str">
        <x:v>厨房柜内</x:v>
      </x:c>
      <x:c r="E4" s="48" t="str">
        <x:v>西厨岛台 NS-01</x:v>
      </x:c>
      <x:c r="F4" s="49" t="str"/>
      <x:c r="G4" s="49" t="str">
        <x:v>西厨岛台 NS-01</x:v>
      </x:c>
      <x:c r="H4" s="49" t="str">
        <x:v>1</x:v>
      </x:c>
      <x:c r="I4" s="49" t="str"/>
      <x:c r="J4" s="49" t="str">
        <x:v>NS01-B</x:v>
      </x:c>
      <x:c r="K4" s="49" t="str">
        <x:v>no</x:v>
      </x:c>
      <x:c r="L4" s="49" t="str">
        <x:v>no</x:v>
      </x:c>
      <x:c r="M4" s="49" t="str">
        <x:v>no</x:v>
      </x:c>
      <x:c r="N4" s="49" t="str">
        <x:v>no</x:v>
      </x:c>
      <x:c r="O4" s="49" t="str"/>
      <x:c r="P4" s="49" t="str"/>
      <x:c r="Q4" s="49" t="str">
        <x:v>部分确认</x:v>
      </x:c>
      <x:c r="R4" s="49" t="str">
        <x:v>长时间运行需确认容器和插座位置</x:v>
      </x:c>
    </x:row>
    <x:row r="5" ht="42" customHeight="1">
      <x:c r="A5" s="47" t="str">
        <x:v>APP-004</x:v>
      </x:c>
      <x:c r="B5" s="47" t="str">
        <x:v>咖啡机</x:v>
      </x:c>
      <x:c r="C5" s="47" t="str">
        <x:v>咖啡设备</x:v>
      </x:c>
      <x:c r="D5" s="48" t="str">
        <x:v>餐边柜</x:v>
      </x:c>
      <x:c r="E5" s="48" t="str">
        <x:v>餐边柜 NS-02</x:v>
      </x:c>
      <x:c r="F5" s="49" t="str"/>
      <x:c r="G5" s="49" t="str">
        <x:v>餐边柜 NS-02</x:v>
      </x:c>
      <x:c r="H5" s="49" t="str">
        <x:v>1</x:v>
      </x:c>
      <x:c r="I5" s="49" t="str"/>
      <x:c r="J5" s="49" t="str">
        <x:v>NS02-A</x:v>
      </x:c>
      <x:c r="K5" s="49" t="str">
        <x:v>model_dependent</x:v>
      </x:c>
      <x:c r="L5" s="49" t="str">
        <x:v>model_dependent</x:v>
      </x:c>
      <x:c r="M5" s="49" t="str">
        <x:v>no</x:v>
      </x:c>
      <x:c r="N5" s="49" t="str">
        <x:v>no</x:v>
      </x:c>
      <x:c r="O5" s="49" t="str"/>
      <x:c r="P5" s="49" t="str"/>
      <x:c r="Q5" s="49" t="str">
        <x:v>部分确认</x:v>
      </x:c>
      <x:c r="R5" s="49" t="str">
        <x:v>实际使用位置已由用户说明</x:v>
      </x:c>
    </x:row>
    <x:row r="6" ht="42" customHeight="1">
      <x:c r="A6" s="47" t="str">
        <x:v>APP-005</x:v>
      </x:c>
      <x:c r="B6" s="47" t="str">
        <x:v>手冲电热水壶</x:v>
      </x:c>
      <x:c r="C6" s="47" t="str">
        <x:v>咖啡设备</x:v>
      </x:c>
      <x:c r="D6" s="48" t="str">
        <x:v>餐边柜</x:v>
      </x:c>
      <x:c r="E6" s="48" t="str">
        <x:v>餐边柜 NS-02</x:v>
      </x:c>
      <x:c r="F6" s="49" t="str"/>
      <x:c r="G6" s="49" t="str">
        <x:v>餐边柜 NS-02</x:v>
      </x:c>
      <x:c r="H6" s="49" t="str">
        <x:v>1</x:v>
      </x:c>
      <x:c r="I6" s="49" t="str"/>
      <x:c r="J6" s="49" t="str">
        <x:v>NS02-A</x:v>
      </x:c>
      <x:c r="K6" s="49" t="str">
        <x:v>no</x:v>
      </x:c>
      <x:c r="L6" s="49" t="str">
        <x:v>no</x:v>
      </x:c>
      <x:c r="M6" s="49" t="str">
        <x:v>no</x:v>
      </x:c>
      <x:c r="N6" s="49" t="str">
        <x:v>no</x:v>
      </x:c>
      <x:c r="O6" s="49" t="str"/>
      <x:c r="P6" s="49" t="str"/>
      <x:c r="Q6" s="49" t="str">
        <x:v>部分确认</x:v>
      </x:c>
      <x:c r="R6" s="49" t="str">
        <x:v>按可能与咖啡机同时使用核算</x:v>
      </x:c>
    </x:row>
    <x:row r="7" ht="42" customHeight="1">
      <x:c r="A7" s="47" t="str">
        <x:v>APP-006</x:v>
      </x:c>
      <x:c r="B7" s="47" t="str">
        <x:v>磨豆机</x:v>
      </x:c>
      <x:c r="C7" s="47" t="str">
        <x:v>咖啡设备</x:v>
      </x:c>
      <x:c r="D7" s="48" t="str">
        <x:v>餐边柜</x:v>
      </x:c>
      <x:c r="E7" s="48" t="str">
        <x:v>餐边柜 NS-02</x:v>
      </x:c>
      <x:c r="F7" s="49" t="str"/>
      <x:c r="G7" s="49" t="str">
        <x:v>餐边柜 NS-02</x:v>
      </x:c>
      <x:c r="H7" s="49" t="str">
        <x:v>1</x:v>
      </x:c>
      <x:c r="I7" s="49" t="str"/>
      <x:c r="J7" s="49" t="str">
        <x:v>NS02-B</x:v>
      </x:c>
      <x:c r="K7" s="49" t="str">
        <x:v>no</x:v>
      </x:c>
      <x:c r="L7" s="49" t="str">
        <x:v>no</x:v>
      </x:c>
      <x:c r="M7" s="49" t="str">
        <x:v>no</x:v>
      </x:c>
      <x:c r="N7" s="49" t="str">
        <x:v>no</x:v>
      </x:c>
      <x:c r="O7" s="49" t="str"/>
      <x:c r="P7" s="49" t="str"/>
      <x:c r="Q7" s="49" t="str">
        <x:v>部分确认</x:v>
      </x:c>
      <x:c r="R7" s="49" t="str">
        <x:v>补型号与铭牌功率</x:v>
      </x:c>
    </x:row>
    <x:row r="8" ht="42" customHeight="1">
      <x:c r="A8" s="47" t="str">
        <x:v>APP-007</x:v>
      </x:c>
      <x:c r="B8" s="47" t="str">
        <x:v>冰箱 1</x:v>
      </x:c>
      <x:c r="C8" s="47" t="str">
        <x:v>固定厨房电器</x:v>
      </x:c>
      <x:c r="D8" s="48" t="str">
        <x:v>西厨</x:v>
      </x:c>
      <x:c r="E8" s="48" t="str">
        <x:v>西厨</x:v>
      </x:c>
      <x:c r="F8" s="49" t="str"/>
      <x:c r="G8" s="49" t="str">
        <x:v>西厨</x:v>
      </x:c>
      <x:c r="H8" s="49" t="str">
        <x:v>1</x:v>
      </x:c>
      <x:c r="I8" s="49" t="str"/>
      <x:c r="J8" s="49" t="str">
        <x:v>CONTINUOUS</x:v>
      </x:c>
      <x:c r="K8" s="49" t="str">
        <x:v>no</x:v>
      </x:c>
      <x:c r="L8" s="49" t="str">
        <x:v>no</x:v>
      </x:c>
      <x:c r="M8" s="49" t="str">
        <x:v>no</x:v>
      </x:c>
      <x:c r="N8" s="49" t="str">
        <x:v>yes</x:v>
      </x:c>
      <x:c r="O8" s="49" t="str"/>
      <x:c r="P8" s="49" t="str"/>
      <x:c r="Q8" s="49" t="str">
        <x:v>待填写</x:v>
      </x:c>
      <x:c r="R8" s="49" t="str">
        <x:v>持续供电且不得进入照明总控</x:v>
      </x:c>
    </x:row>
    <x:row r="9" ht="42" customHeight="1">
      <x:c r="A9" s="47" t="str">
        <x:v>APP-008</x:v>
      </x:c>
      <x:c r="B9" s="47" t="str">
        <x:v>冰箱 2</x:v>
      </x:c>
      <x:c r="C9" s="47" t="str">
        <x:v>固定厨房电器</x:v>
      </x:c>
      <x:c r="D9" s="48" t="str">
        <x:v>西厨</x:v>
      </x:c>
      <x:c r="E9" s="48" t="str">
        <x:v>西厨</x:v>
      </x:c>
      <x:c r="F9" s="49" t="str"/>
      <x:c r="G9" s="49" t="str">
        <x:v>西厨</x:v>
      </x:c>
      <x:c r="H9" s="49" t="str">
        <x:v>1</x:v>
      </x:c>
      <x:c r="I9" s="49" t="str"/>
      <x:c r="J9" s="49" t="str">
        <x:v>CONTINUOUS</x:v>
      </x:c>
      <x:c r="K9" s="49" t="str">
        <x:v>no</x:v>
      </x:c>
      <x:c r="L9" s="49" t="str">
        <x:v>no</x:v>
      </x:c>
      <x:c r="M9" s="49" t="str">
        <x:v>no</x:v>
      </x:c>
      <x:c r="N9" s="49" t="str">
        <x:v>yes</x:v>
      </x:c>
      <x:c r="O9" s="49" t="str"/>
      <x:c r="P9" s="49" t="str"/>
      <x:c r="Q9" s="49" t="str">
        <x:v>待填写</x:v>
      </x:c>
      <x:c r="R9" s="49" t="str">
        <x:v>持续供电且不得进入照明总控</x:v>
      </x:c>
    </x:row>
    <x:row r="10" ht="42" customHeight="1">
      <x:c r="A10" s="47" t="str">
        <x:v>APP-009</x:v>
      </x:c>
      <x:c r="B10" s="47" t="str">
        <x:v>岛台洗碗机 1</x:v>
      </x:c>
      <x:c r="C10" s="47" t="str">
        <x:v>固定厨房电器</x:v>
      </x:c>
      <x:c r="D10" s="48" t="str">
        <x:v>西厨岛台</x:v>
      </x:c>
      <x:c r="E10" s="48" t="str">
        <x:v>西厨岛台</x:v>
      </x:c>
      <x:c r="F10" s="49" t="str"/>
      <x:c r="G10" s="49" t="str">
        <x:v>西厨岛台</x:v>
      </x:c>
      <x:c r="H10" s="49" t="str">
        <x:v>1</x:v>
      </x:c>
      <x:c r="I10" s="49" t="str"/>
      <x:c r="J10" s="49" t="str">
        <x:v>DISHWASHER-A</x:v>
      </x:c>
      <x:c r="K10" s="49" t="str">
        <x:v>yes</x:v>
      </x:c>
      <x:c r="L10" s="49" t="str">
        <x:v>yes</x:v>
      </x:c>
      <x:c r="M10" s="49" t="str">
        <x:v>no</x:v>
      </x:c>
      <x:c r="N10" s="49" t="str">
        <x:v>no</x:v>
      </x:c>
      <x:c r="O10" s="49" t="str"/>
      <x:c r="P10" s="49" t="str"/>
      <x:c r="Q10" s="49" t="str">
        <x:v>待填写</x:v>
      </x:c>
      <x:c r="R10" s="49" t="str">
        <x:v>IFC 身份已确认；补产品安装图</x:v>
      </x:c>
    </x:row>
    <x:row r="11" ht="42" customHeight="1">
      <x:c r="A11" s="47" t="str">
        <x:v>APP-010</x:v>
      </x:c>
      <x:c r="B11" s="47" t="str">
        <x:v>岛台洗碗机 2</x:v>
      </x:c>
      <x:c r="C11" s="47" t="str">
        <x:v>固定厨房电器</x:v>
      </x:c>
      <x:c r="D11" s="48" t="str">
        <x:v>西厨岛台</x:v>
      </x:c>
      <x:c r="E11" s="48" t="str">
        <x:v>西厨岛台</x:v>
      </x:c>
      <x:c r="F11" s="49" t="str"/>
      <x:c r="G11" s="49" t="str">
        <x:v>西厨岛台</x:v>
      </x:c>
      <x:c r="H11" s="49" t="str">
        <x:v>1</x:v>
      </x:c>
      <x:c r="I11" s="49" t="str"/>
      <x:c r="J11" s="49" t="str">
        <x:v>DISHWASHER-B</x:v>
      </x:c>
      <x:c r="K11" s="49" t="str">
        <x:v>yes</x:v>
      </x:c>
      <x:c r="L11" s="49" t="str">
        <x:v>yes</x:v>
      </x:c>
      <x:c r="M11" s="49" t="str">
        <x:v>no</x:v>
      </x:c>
      <x:c r="N11" s="49" t="str">
        <x:v>no</x:v>
      </x:c>
      <x:c r="O11" s="49" t="str"/>
      <x:c r="P11" s="49" t="str"/>
      <x:c r="Q11" s="49" t="str">
        <x:v>待填写</x:v>
      </x:c>
      <x:c r="R11" s="49" t="str">
        <x:v>IFC 身份已确认；补产品安装图</x:v>
      </x:c>
    </x:row>
    <x:row r="12" ht="42" customHeight="1">
      <x:c r="A12" s="47" t="str">
        <x:v>APP-011</x:v>
      </x:c>
      <x:c r="B12" s="47" t="str">
        <x:v>烤箱</x:v>
      </x:c>
      <x:c r="C12" s="47" t="str">
        <x:v>固定厨房电器</x:v>
      </x:c>
      <x:c r="D12" s="48" t="str">
        <x:v>西厨高柜</x:v>
      </x:c>
      <x:c r="E12" s="48" t="str">
        <x:v>西厨高柜</x:v>
      </x:c>
      <x:c r="F12" s="49" t="str"/>
      <x:c r="G12" s="49" t="str">
        <x:v>西厨高柜</x:v>
      </x:c>
      <x:c r="H12" s="49" t="str">
        <x:v>1</x:v>
      </x:c>
      <x:c r="I12" s="49" t="str"/>
      <x:c r="J12" s="49" t="str">
        <x:v>COOKING-A</x:v>
      </x:c>
      <x:c r="K12" s="49" t="str">
        <x:v>no</x:v>
      </x:c>
      <x:c r="L12" s="49" t="str">
        <x:v>no</x:v>
      </x:c>
      <x:c r="M12" s="49" t="str">
        <x:v>no</x:v>
      </x:c>
      <x:c r="N12" s="49" t="str">
        <x:v>model_dependent</x:v>
      </x:c>
      <x:c r="O12" s="49" t="str"/>
      <x:c r="P12" s="49" t="str"/>
      <x:c r="Q12" s="49" t="str">
        <x:v>待填写</x:v>
      </x:c>
      <x:c r="R12" s="49" t="str">
        <x:v>补额定功率和散热要求</x:v>
      </x:c>
    </x:row>
    <x:row r="13" ht="42" customHeight="1">
      <x:c r="A13" s="47" t="str">
        <x:v>APP-012</x:v>
      </x:c>
      <x:c r="B13" s="47" t="str">
        <x:v>炉灶</x:v>
      </x:c>
      <x:c r="C13" s="47" t="str">
        <x:v>固定厨房电器</x:v>
      </x:c>
      <x:c r="D13" s="48" t="str">
        <x:v>中厨</x:v>
      </x:c>
      <x:c r="E13" s="48" t="str">
        <x:v>中厨</x:v>
      </x:c>
      <x:c r="F13" s="49" t="str"/>
      <x:c r="G13" s="49" t="str">
        <x:v>中厨</x:v>
      </x:c>
      <x:c r="H13" s="49" t="str">
        <x:v>1</x:v>
      </x:c>
      <x:c r="I13" s="49" t="str"/>
      <x:c r="J13" s="49" t="str">
        <x:v>COOKING-B</x:v>
      </x:c>
      <x:c r="K13" s="49" t="str">
        <x:v>no</x:v>
      </x:c>
      <x:c r="L13" s="49" t="str">
        <x:v>no</x:v>
      </x:c>
      <x:c r="M13" s="49" t="str">
        <x:v>model_dependent</x:v>
      </x:c>
      <x:c r="N13" s="49" t="str">
        <x:v>yes</x:v>
      </x:c>
      <x:c r="O13" s="49" t="str"/>
      <x:c r="P13" s="49" t="str"/>
      <x:c r="Q13" s="49" t="str">
        <x:v>待填写</x:v>
      </x:c>
      <x:c r="R13" s="49" t="str">
        <x:v>确认燃气或电气类型</x:v>
      </x:c>
    </x:row>
    <x:row r="14" ht="42" customHeight="1">
      <x:c r="A14" s="47" t="str">
        <x:v>APP-013</x:v>
      </x:c>
      <x:c r="B14" s="47" t="str">
        <x:v>油烟机</x:v>
      </x:c>
      <x:c r="C14" s="47" t="str">
        <x:v>固定厨房电器</x:v>
      </x:c>
      <x:c r="D14" s="48" t="str">
        <x:v>中厨</x:v>
      </x:c>
      <x:c r="E14" s="48" t="str">
        <x:v>中厨</x:v>
      </x:c>
      <x:c r="F14" s="49" t="str"/>
      <x:c r="G14" s="49" t="str">
        <x:v>中厨</x:v>
      </x:c>
      <x:c r="H14" s="49" t="str">
        <x:v>1</x:v>
      </x:c>
      <x:c r="I14" s="49" t="str"/>
      <x:c r="J14" s="49" t="str">
        <x:v>COOKING-B</x:v>
      </x:c>
      <x:c r="K14" s="49" t="str">
        <x:v>no</x:v>
      </x:c>
      <x:c r="L14" s="49" t="str">
        <x:v>no</x:v>
      </x:c>
      <x:c r="M14" s="49" t="str">
        <x:v>no</x:v>
      </x:c>
      <x:c r="N14" s="49" t="str">
        <x:v>yes</x:v>
      </x:c>
      <x:c r="O14" s="49" t="str"/>
      <x:c r="P14" s="49" t="str"/>
      <x:c r="Q14" s="49" t="str">
        <x:v>待填写</x:v>
      </x:c>
      <x:c r="R14" s="49" t="str">
        <x:v>补功率/排烟接口/止回阀资料</x:v>
      </x:c>
    </x:row>
    <x:row r="15" ht="42" customHeight="1">
      <x:c r="A15" s="47" t="str">
        <x:v>APP-014</x:v>
      </x:c>
      <x:c r="B15" s="47" t="str">
        <x:v>直饮机</x:v>
      </x:c>
      <x:c r="C15" s="47" t="str">
        <x:v>水处理设备</x:v>
      </x:c>
      <x:c r="D15" s="48" t="str">
        <x:v>西厨</x:v>
      </x:c>
      <x:c r="E15" s="48" t="str">
        <x:v>西厨使用点</x:v>
      </x:c>
      <x:c r="F15" s="49" t="str"/>
      <x:c r="G15" s="49" t="str">
        <x:v>西厨使用点</x:v>
      </x:c>
      <x:c r="H15" s="49" t="str">
        <x:v>1</x:v>
      </x:c>
      <x:c r="I15" s="49" t="str"/>
      <x:c r="J15" s="49" t="str">
        <x:v>WATER-A</x:v>
      </x:c>
      <x:c r="K15" s="49" t="str">
        <x:v>yes</x:v>
      </x:c>
      <x:c r="L15" s="49" t="str">
        <x:v>model_dependent</x:v>
      </x:c>
      <x:c r="M15" s="49" t="str">
        <x:v>no</x:v>
      </x:c>
      <x:c r="N15" s="49" t="str">
        <x:v>no</x:v>
      </x:c>
      <x:c r="O15" s="49" t="str"/>
      <x:c r="P15" s="49" t="str"/>
      <x:c r="Q15" s="49" t="str">
        <x:v>待填写</x:v>
      </x:c>
      <x:c r="R15" s="49" t="str">
        <x:v>补产品安装图和排水需求</x:v>
      </x:c>
    </x:row>
    <x:row r="16" ht="42" customHeight="1">
      <x:c r="A16" s="47" t="str">
        <x:v>APP-015</x:v>
      </x:c>
      <x:c r="B16" s="47" t="str">
        <x:v>净水器</x:v>
      </x:c>
      <x:c r="C16" s="47" t="str">
        <x:v>水处理设备</x:v>
      </x:c>
      <x:c r="D16" s="48" t="str">
        <x:v>西厨柜内</x:v>
      </x:c>
      <x:c r="E16" s="48" t="str">
        <x:v>西厨柜内接口区</x:v>
      </x:c>
      <x:c r="F16" s="49" t="str"/>
      <x:c r="G16" s="49" t="str">
        <x:v>西厨柜内接口区</x:v>
      </x:c>
      <x:c r="H16" s="49" t="str">
        <x:v>1</x:v>
      </x:c>
      <x:c r="I16" s="49" t="str"/>
      <x:c r="J16" s="49" t="str">
        <x:v>WATER-A</x:v>
      </x:c>
      <x:c r="K16" s="49" t="str">
        <x:v>yes</x:v>
      </x:c>
      <x:c r="L16" s="49" t="str">
        <x:v>model_dependent</x:v>
      </x:c>
      <x:c r="M16" s="49" t="str">
        <x:v>no</x:v>
      </x:c>
      <x:c r="N16" s="49" t="str">
        <x:v>no</x:v>
      </x:c>
      <x:c r="O16" s="49" t="str"/>
      <x:c r="P16" s="49" t="str"/>
      <x:c r="Q16" s="49" t="str">
        <x:v>待填写</x:v>
      </x:c>
      <x:c r="R16" s="49" t="str">
        <x:v>存放位置与龙头使用点分开记录</x:v>
      </x:c>
    </x:row>
    <x:row r="17" ht="42" customHeight="1">
      <x:c r="A17" s="47" t="str">
        <x:v>APP-016</x:v>
      </x:c>
      <x:c r="B17" s="47" t="str">
        <x:v>垃圾处理器</x:v>
      </x:c>
      <x:c r="C17" s="47" t="str">
        <x:v>固定厨房电器</x:v>
      </x:c>
      <x:c r="D17" s="48" t="str">
        <x:v>西厨水槽柜</x:v>
      </x:c>
      <x:c r="E17" s="48" t="str">
        <x:v>西厨水槽柜</x:v>
      </x:c>
      <x:c r="F17" s="49" t="str"/>
      <x:c r="G17" s="49" t="str">
        <x:v>西厨水槽柜</x:v>
      </x:c>
      <x:c r="H17" s="49" t="str">
        <x:v>1</x:v>
      </x:c>
      <x:c r="I17" s="49" t="str"/>
      <x:c r="J17" s="49" t="str">
        <x:v>WATER-A</x:v>
      </x:c>
      <x:c r="K17" s="49" t="str">
        <x:v>no</x:v>
      </x:c>
      <x:c r="L17" s="49" t="str">
        <x:v>yes</x:v>
      </x:c>
      <x:c r="M17" s="49" t="str">
        <x:v>no</x:v>
      </x:c>
      <x:c r="N17" s="49" t="str">
        <x:v>no</x:v>
      </x:c>
      <x:c r="O17" s="49" t="str"/>
      <x:c r="P17" s="49" t="str"/>
      <x:c r="Q17" s="49" t="str">
        <x:v>待填写</x:v>
      </x:c>
      <x:c r="R17" s="49" t="str">
        <x:v>补功率/开关方式/排水连接要求</x:v>
      </x:c>
    </x:row>
    <x:row r="18" ht="42" customHeight="1">
      <x:c r="A18" s="47" t="str">
        <x:v>APP-017</x:v>
      </x:c>
      <x:c r="B18" s="47" t="str">
        <x:v>LG WashTower</x:v>
      </x:c>
      <x:c r="C18" s="47" t="str">
        <x:v>洗衣设备</x:v>
      </x:c>
      <x:c r="D18" s="48" t="str">
        <x:v>中厨</x:v>
      </x:c>
      <x:c r="E18" s="48" t="str">
        <x:v>中厨</x:v>
      </x:c>
      <x:c r="F18" s="49" t="str"/>
      <x:c r="G18" s="49" t="str">
        <x:v>中厨</x:v>
      </x:c>
      <x:c r="H18" s="49" t="str">
        <x:v>1</x:v>
      </x:c>
      <x:c r="I18" s="49" t="str"/>
      <x:c r="J18" s="49" t="str">
        <x:v>LAUNDRY-A</x:v>
      </x:c>
      <x:c r="K18" s="49" t="str">
        <x:v>yes</x:v>
      </x:c>
      <x:c r="L18" s="49" t="str">
        <x:v>yes</x:v>
      </x:c>
      <x:c r="M18" s="49" t="str">
        <x:v>no</x:v>
      </x:c>
      <x:c r="N18" s="49" t="str">
        <x:v>yes</x:v>
      </x:c>
      <x:c r="O18" s="49" t="str"/>
      <x:c r="P18" s="49" t="str"/>
      <x:c r="Q18" s="49" t="str">
        <x:v>待填写</x:v>
      </x:c>
      <x:c r="R18" s="49" t="str">
        <x:v>正式 IFC 有设备体量；补完整型号与安装图</x:v>
      </x:c>
    </x:row>
    <x:row r="19" ht="42" customHeight="1">
      <x:c r="A19" s="47" t="str">
        <x:v>APP-018</x:v>
      </x:c>
      <x:c r="B19" s="47" t="str">
        <x:v>Huawei 联通智家设备</x:v>
      </x:c>
      <x:c r="C19" s="47" t="str">
        <x:v>网络设备</x:v>
      </x:c>
      <x:c r="D19" s="48" t="str">
        <x:v>玄关弱电箱</x:v>
      </x:c>
      <x:c r="E19" s="48" t="str">
        <x:v>玄关弱电箱</x:v>
      </x:c>
      <x:c r="F19" s="49" t="str"/>
      <x:c r="G19" s="49" t="str">
        <x:v>玄关弱电箱</x:v>
      </x:c>
      <x:c r="H19" s="49" t="str">
        <x:v>1</x:v>
      </x:c>
      <x:c r="I19" s="49" t="str"/>
      <x:c r="J19" s="49" t="str">
        <x:v>CONTINUOUS</x:v>
      </x:c>
      <x:c r="K19" s="49" t="str">
        <x:v>no</x:v>
      </x:c>
      <x:c r="L19" s="49" t="str">
        <x:v>no</x:v>
      </x:c>
      <x:c r="M19" s="49" t="str">
        <x:v>no</x:v>
      </x:c>
      <x:c r="N19" s="49" t="str">
        <x:v>yes</x:v>
      </x:c>
      <x:c r="O19" s="49" t="str"/>
      <x:c r="P19" s="49" t="str"/>
      <x:c r="Q19" s="49" t="str">
        <x:v>部分确认</x:v>
      </x:c>
      <x:c r="R19" s="49" t="str">
        <x:v>实际箱内运行已确认；补底部铭牌与设备功能</x:v>
      </x:c>
    </x:row>
  </x:sheetData>
  <x:conditionalFormatting sqref="Q2:Q19">
    <x:cfRule type="containsText" dxfId="3" priority="1" operator="containsText" text="已确认"/>
    <x:cfRule type="containsText" dxfId="4" priority="2" operator="containsText" text="部分确认"/>
  </x:conditionalFormatting>
  <x:dataValidations count="5">
    <x:dataValidation type="list" sqref="Q2:Q19">
      <x:formula1>"待填写,部分确认,已确认,暂缓,不适用"</x:formula1>
    </x:dataValidation>
    <x:dataValidation type="list" sqref="K2:K19">
      <x:formula1>"yes,no,model_dependent"</x:formula1>
    </x:dataValidation>
    <x:dataValidation type="list" sqref="L2:L19">
      <x:formula1>"yes,no,model_dependent"</x:formula1>
    </x:dataValidation>
    <x:dataValidation type="list" sqref="M2:M19">
      <x:formula1>"yes,no,model_dependent"</x:formula1>
    </x:dataValidation>
    <x:dataValidation type="list" sqref="N2:N19">
      <x:formula1>"yes,no,model_dependent"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5ae27b0f91400d"/>
  </x:tableParts>
</x:worksheet>
</file>