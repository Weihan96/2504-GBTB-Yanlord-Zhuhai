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ad1d1eb80abd41cf" /></Relationships>
</file>

<file path=xl/workbook.xml><?xml version="1.0" encoding="utf-8"?>
<x:workbook xmlns:x="http://schemas.openxmlformats.org/spreadsheetml/2006/main">
  <x:sheets>
    <x:sheet xmlns:r="http://schemas.openxmlformats.org/officeDocument/2006/relationships" name="使用说明" sheetId="1" r:id="R716cc185b97a4765"/>
    <x:sheet xmlns:r="http://schemas.openxmlformats.org/officeDocument/2006/relationships" name="设计决策" sheetId="2" r:id="R0a5fca9c609c4d6f"/>
    <x:sheet xmlns:r="http://schemas.openxmlformats.org/officeDocument/2006/relationships" name="家电清单" sheetId="3" r:id="Reb55ea0f5e7d47c2"/>
    <x:sheet xmlns:r="http://schemas.openxmlformats.org/officeDocument/2006/relationships" name="设备主表" sheetId="4" r:id="R10e2bd6f7d02465c"/>
    <x:sheet xmlns:r="http://schemas.openxmlformats.org/officeDocument/2006/relationships" name="安装条件" sheetId="5" r:id="R03b70621aa65432e"/>
    <x:sheet xmlns:r="http://schemas.openxmlformats.org/officeDocument/2006/relationships" name="证据索引" sheetId="6" r:id="R2cab1669d3bf4894"/>
  </x:sheets>
</x:workbook>
</file>

<file path=xl/comments1.xml><?xml version="1.0" encoding="utf-8"?>
<x:comments xmlns:x="http://schemas.openxmlformats.org/spreadsheetml/2006/main">
  <x:authors>
    <x:author>tc={0CA4BC75-6D01-F19F-6DB5-D8DADA0F9516}</x:author>
  </x:authors>
  <x:commentList>
    <x:comment ref="G2" authorId="0">
      <x:text>
        <x:r>
          <x:t>[Threaded comment]
Your version of Excel allows you to read this threaded comment; however, any edits to it will get removed if the file is opened in a newer version of Excel. Learn more: https://go.microsoft.com/fwlink/?linkid=870924
Comment:
    审核动作：在 G2 填写“同意”并把 I2 改为“采用候选”，或写明需要调整的规则。
确认范围仅为墙 Tag：EW01–EW84 / NW01–NW04；不会改变墙几何、位置、宿主关系或门尺寸。
审核图：output/images/A-103-wall-tag-review.png</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8"/>
      <x:color rgb="FFFFFFFF"/>
      <x:name val="Carlito"/>
    </x:font>
    <x:font>
      <x:b/>
      <x:sz val="11"/>
      <x:color rgb="FF7F6000"/>
      <x:name val="Carlito"/>
    </x:font>
    <x:font>
      <x:b/>
      <x:sz val="11"/>
      <x:color rgb="FF17324D"/>
      <x:name val="Carlito"/>
    </x:font>
    <x:font>
      <x:b/>
      <x:sz val="11"/>
      <x:color rgb="FF274E13"/>
      <x:name val="Carlito"/>
    </x:font>
    <x:font>
      <x:b/>
      <x:sz val="18"/>
      <x:color rgb="FFFFFFFF"/>
      <x:name val="Aptos"/>
    </x:font>
    <x:font>
      <x:sz val="11"/>
      <x:name val="Aptos"/>
    </x:font>
    <x:font>
      <x:b/>
      <x:sz val="11"/>
      <x:color rgb="FF7F6000"/>
      <x:name val="Aptos"/>
    </x:font>
    <x:font>
      <x:b/>
      <x:sz val="11"/>
      <x:color rgb="FF17324D"/>
      <x:name val="Aptos"/>
    </x:font>
    <x:font>
      <x:b/>
      <x:sz val="11"/>
      <x:color rgb="FF274E13"/>
      <x:name val="Aptos"/>
    </x:font>
    <x:font>
      <x:sz val="10"/>
      <x:name val="Aptos"/>
    </x:font>
    <x:font>
      <x:b/>
      <x:sz val="10"/>
      <x:color rgb="FFFFFFFF"/>
      <x:name val="Aptos"/>
    </x:font>
    <x:font>
      <x:b/>
      <x:sz val="14"/>
      <x:color rgb="FFFFFFFF"/>
      <x:name val="Carlito"/>
    </x:font>
    <x:font>
      <x:b/>
      <x:sz val="11"/>
      <x:color rgb="FF17365D"/>
      <x:name val="Carlito"/>
    </x:font>
    <x:font>
      <x:sz val="10"/>
      <x:color rgb="FF1F2937"/>
      <x:name val="Carlito"/>
    </x:font>
    <x:font>
      <x:b/>
      <x:sz val="11"/>
      <x:color rgb="FFFFFFFF"/>
      <x:name val="Carlito"/>
    </x:font>
  </x:fonts>
  <x:fills count="15">
    <x:fill>
      <x:patternFill patternType="none"/>
    </x:fill>
    <x:fill>
      <x:patternFill patternType="gray125"/>
    </x:fill>
    <x:fill>
      <x:patternFill patternType="solid">
        <x:fgColor rgb="FF17324D"/>
      </x:patternFill>
    </x:fill>
    <x:fill>
      <x:patternFill patternType="solid">
        <x:fgColor rgb="FFFFF2CC"/>
      </x:patternFill>
    </x:fill>
    <x:fill>
      <x:patternFill patternType="solid">
        <x:fgColor rgb="FFD9EAF7"/>
      </x:patternFill>
    </x:fill>
    <x:fill>
      <x:patternFill patternType="solid">
        <x:fgColor rgb="FFD9EAD3"/>
      </x:patternFill>
    </x:fill>
    <x:fill>
      <x:patternFill patternType="solid">
        <x:fgColor rgb="FFE7E6E6"/>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s>
  <x:borders count="21">
    <x:border/>
    <x:border>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top style="thin">
        <x:color rgb="FFD9E2F3"/>
      </x:top>
    </x:border>
    <x:border>
      <x:right style="thin">
        <x:color rgb="FFD9EAD3"/>
      </x:right>
      <x:bottom style="thin">
        <x:color rgb="FFD9EAD3"/>
      </x:bottom>
    </x:border>
    <x:border>
      <x:left style="thin">
        <x:color rgb="FFD9EAD3"/>
      </x:left>
      <x:bottom style="thin">
        <x:color rgb="FFD9EAD3"/>
      </x:bottom>
    </x:border>
    <x:border>
      <x:right style="thin">
        <x:color rgb="FFD9EAD3"/>
      </x:right>
      <x:top style="thin">
        <x:color rgb="FFD9EAD3"/>
      </x:top>
      <x:bottom style="thin">
        <x:color rgb="FFD9EAD3"/>
      </x:bottom>
    </x:border>
    <x:border>
      <x:left style="thin">
        <x:color rgb="FFD9EAD3"/>
      </x:left>
      <x:top style="thin">
        <x:color rgb="FFD9EAD3"/>
      </x:top>
      <x:bottom style="thin">
        <x:color rgb="FFD9EAD3"/>
      </x:bottom>
    </x:border>
    <x:border>
      <x:right style="thin">
        <x:color rgb="FFD9EAD3"/>
      </x:right>
      <x:top style="thin">
        <x:color rgb="FFD9EAD3"/>
      </x:top>
    </x:border>
    <x:border>
      <x:left style="thin">
        <x:color rgb="FFD9EAD3"/>
      </x:left>
      <x:top style="thin">
        <x:color rgb="FFD9EAD3"/>
      </x:top>
    </x:border>
    <x:border/>
    <x:border/>
    <x:border/>
    <x:border/>
    <x:border/>
    <x:border/>
    <x:border/>
    <x:border/>
  </x:borders>
  <x:cellStyleXfs count="1">
    <x:xf numFmtId="0" fontId="0" fillId="0" borderId="0"/>
  </x:cellStyleXfs>
  <x:cellXfs count="11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7" xfId="0" applyNumberFormat="1" applyFont="1" applyFill="1" applyBorder="1"/>
    <x:xf numFmtId="0" fontId="4" fillId="5"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5" fillId="2" borderId="0" xfId="0" applyNumberFormat="1" applyFont="1" applyFill="1" applyBorder="1" applyAlignment="1">
      <x:alignment vertical="center"/>
    </x:xf>
    <x:xf numFmtId="0" fontId="6" fillId="0" borderId="0" xfId="0" applyNumberFormat="1" applyFont="1" applyFill="1" applyBorder="1"/>
    <x:xf numFmtId="0" fontId="7" fillId="3" borderId="0" xfId="0" applyNumberFormat="1" applyFont="1" applyFill="1" applyBorder="1" applyAlignment="1">
      <x:alignment wrapText="1"/>
    </x:xf>
    <x:xf numFmtId="0" fontId="8" fillId="4" borderId="1" xfId="0" applyNumberFormat="1" applyFont="1" applyFill="1" applyBorder="1"/>
    <x:xf numFmtId="0" fontId="8" fillId="4" borderId="2" xfId="0" applyNumberFormat="1" applyFont="1" applyFill="1" applyBorder="1"/>
    <x:xf numFmtId="0" fontId="6" fillId="0" borderId="3" xfId="0" applyNumberFormat="1" applyFont="1" applyFill="1" applyBorder="1"/>
    <x:xf numFmtId="0" fontId="6" fillId="0" borderId="4" xfId="0" applyNumberFormat="1" applyFont="1" applyFill="1" applyBorder="1" applyAlignment="1">
      <x:alignment wrapText="1"/>
    </x:xf>
    <x:xf numFmtId="0" fontId="6" fillId="0" borderId="5" xfId="0" applyNumberFormat="1" applyFont="1" applyFill="1" applyBorder="1"/>
    <x:xf numFmtId="0" fontId="6" fillId="0" borderId="6" xfId="0" applyNumberFormat="1" applyFont="1" applyFill="1" applyBorder="1" applyAlignment="1">
      <x:alignment wrapText="1"/>
    </x:xf>
    <x:xf numFmtId="0" fontId="9" fillId="5" borderId="7" xfId="0" applyNumberFormat="1" applyFont="1" applyFill="1" applyBorder="1"/>
    <x:xf numFmtId="0" fontId="9" fillId="5" borderId="8" xfId="0" applyNumberFormat="1" applyFont="1" applyFill="1" applyBorder="1"/>
    <x:xf numFmtId="0" fontId="6" fillId="0" borderId="9" xfId="0" applyNumberFormat="1" applyFont="1" applyFill="1" applyBorder="1"/>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10" fillId="0" borderId="0" xfId="0" applyNumberFormat="1" applyFont="1" applyFill="1" applyBorder="1"/>
    <x:xf numFmtId="0" fontId="10" fillId="2" borderId="0" xfId="0" applyNumberFormat="1" applyFont="1" applyFill="1" applyBorder="1"/>
    <x:xf numFmtId="0" fontId="11" fillId="2" borderId="0" xfId="0" applyNumberFormat="1" applyFont="1" applyFill="1" applyBorder="1"/>
    <x:xf numFmtId="0" fontId="11" fillId="2" borderId="0" xfId="0" applyNumberFormat="1" applyFont="1" applyFill="1" applyBorder="1" applyAlignment="1">
      <x:alignment wrapText="1"/>
    </x:xf>
    <x:xf numFmtId="0" fontId="11" fillId="2" borderId="0" xfId="0" applyNumberFormat="1" applyFont="1" applyFill="1" applyBorder="1" applyAlignment="1">
      <x:alignment vertical="center" wrapText="1"/>
    </x:xf>
    <x:xf numFmtId="0" fontId="10" fillId="6" borderId="0" xfId="0" applyNumberFormat="1" applyFont="1" applyFill="1" applyBorder="1"/>
    <x:xf numFmtId="0" fontId="10" fillId="3" borderId="0" xfId="0" applyNumberFormat="1" applyFont="1" applyFill="1" applyBorder="1"/>
    <x:xf numFmtId="0" fontId="10" fillId="0" borderId="0" xfId="0" applyNumberFormat="1" applyFont="1" applyFill="1" applyBorder="1" applyAlignment="1">
      <x:alignment wrapText="1"/>
    </x:xf>
    <x:xf numFmtId="0" fontId="10" fillId="6" borderId="0" xfId="0" applyNumberFormat="1" applyFont="1" applyFill="1" applyBorder="1" applyAlignment="1">
      <x:alignment wrapText="1"/>
    </x:xf>
    <x:xf numFmtId="0" fontId="10" fillId="3" borderId="0" xfId="0" applyNumberFormat="1" applyFont="1" applyFill="1" applyBorder="1" applyAlignment="1">
      <x:alignment wrapText="1"/>
    </x:xf>
    <x:xf numFmtId="0" fontId="0" fillId="7" borderId="0" xfId="0" applyNumberFormat="1" applyFont="1" applyFill="1" applyBorder="1"/>
    <x:xf numFmtId="0" fontId="12" fillId="7" borderId="0" xfId="0" applyNumberFormat="1" applyFont="1" applyFill="1" applyBorder="1"/>
    <x:xf numFmtId="0" fontId="12" fillId="7" borderId="0" xfId="0" applyNumberFormat="1" applyFont="1" applyFill="1" applyBorder="1" applyAlignment="1">
      <x:alignment vertical="center"/>
    </x:xf>
    <x:xf numFmtId="0" fontId="0" fillId="8" borderId="0" xfId="0" applyNumberFormat="1" applyFont="1" applyFill="1" applyBorder="1"/>
    <x:xf numFmtId="0" fontId="13" fillId="8" borderId="0" xfId="0" applyNumberFormat="1" applyFont="1" applyFill="1" applyBorder="1"/>
    <x:xf numFmtId="0" fontId="13" fillId="8" borderId="13" xfId="0" applyNumberFormat="1" applyFont="1" applyFill="1" applyBorder="1"/>
    <x:xf numFmtId="0" fontId="13" fillId="8" borderId="13" xfId="0" applyNumberFormat="1" applyFont="1" applyFill="1" applyBorder="1" applyAlignment="1">
      <x:alignment wrapText="1"/>
    </x:xf>
    <x:xf numFmtId="0" fontId="13" fillId="8" borderId="13" xfId="0" applyNumberFormat="1" applyFont="1" applyFill="1" applyBorder="1" applyAlignment="1">
      <x:alignment vertical="center" wrapText="1"/>
    </x:xf>
    <x:xf numFmtId="0" fontId="14" fillId="0" borderId="0" xfId="0" applyNumberFormat="1" applyFont="1" applyFill="1" applyBorder="1"/>
    <x:xf numFmtId="0" fontId="14" fillId="0" borderId="14" xfId="0" applyNumberFormat="1" applyFont="1" applyFill="1" applyBorder="1"/>
    <x:xf numFmtId="0" fontId="14" fillId="0" borderId="14" xfId="0" applyNumberFormat="1" applyFont="1" applyFill="1" applyBorder="1" applyAlignment="1">
      <x:alignment wrapText="1"/>
    </x:xf>
    <x:xf numFmtId="0" fontId="14" fillId="0" borderId="14" xfId="0" applyNumberFormat="1" applyFont="1" applyFill="1" applyBorder="1" applyAlignment="1">
      <x:alignment vertical="top" wrapText="1"/>
    </x:xf>
    <x:xf numFmtId="0" fontId="15" fillId="7" borderId="0" xfId="0" applyNumberFormat="1" applyFont="1" applyFill="1" applyBorder="1"/>
    <x:xf numFmtId="0" fontId="15" fillId="7" borderId="0" xfId="0" applyNumberFormat="1" applyFont="1" applyFill="1" applyBorder="1" applyAlignment="1">
      <x:alignment wrapText="1"/>
    </x:xf>
    <x:xf numFmtId="0" fontId="13" fillId="8" borderId="0" xfId="0" applyNumberFormat="1" applyFont="1" applyFill="1" applyBorder="1" applyAlignment="1">
      <x:alignment wrapText="1"/>
    </x:xf>
    <x:xf numFmtId="0" fontId="0" fillId="0" borderId="0" xfId="0" applyNumberFormat="1" applyFont="1" applyFill="1" applyBorder="1" applyAlignment="1">
      <x:alignment wrapText="1"/>
    </x:xf>
    <x:xf numFmtId="0" fontId="15" fillId="7" borderId="13" xfId="0" applyNumberFormat="1" applyFont="1" applyFill="1" applyBorder="1" applyAlignment="1">
      <x:alignment wrapText="1"/>
    </x:xf>
    <x:xf numFmtId="0" fontId="0" fillId="0" borderId="13" xfId="0" applyNumberFormat="1" applyFont="1" applyFill="1" applyBorder="1" applyAlignment="1">
      <x:alignment wrapText="1"/>
    </x:xf>
    <x:xf numFmtId="0" fontId="0" fillId="9" borderId="0" xfId="0" applyNumberFormat="1" applyFont="1" applyFill="1" applyBorder="1"/>
    <x:xf numFmtId="0" fontId="12" fillId="9" borderId="0" xfId="0" applyNumberFormat="1" applyFont="1" applyFill="1" applyBorder="1"/>
    <x:xf numFmtId="0" fontId="12" fillId="9" borderId="0" xfId="0" applyNumberFormat="1" applyFont="1" applyFill="1" applyBorder="1" applyAlignment="1">
      <x:alignment vertical="center"/>
    </x:xf>
    <x:xf numFmtId="0" fontId="0" fillId="10" borderId="0" xfId="0" applyNumberFormat="1" applyFont="1" applyFill="1" applyBorder="1"/>
    <x:xf numFmtId="0" fontId="13" fillId="10" borderId="0" xfId="0" applyNumberFormat="1" applyFont="1" applyFill="1" applyBorder="1"/>
    <x:xf numFmtId="0" fontId="13" fillId="10" borderId="15" xfId="0" applyNumberFormat="1" applyFont="1" applyFill="1" applyBorder="1"/>
    <x:xf numFmtId="0" fontId="13" fillId="10" borderId="15" xfId="0" applyNumberFormat="1" applyFont="1" applyFill="1" applyBorder="1" applyAlignment="1">
      <x:alignment wrapText="1"/>
    </x:xf>
    <x:xf numFmtId="0" fontId="13" fillId="10" borderId="15" xfId="0" applyNumberFormat="1" applyFont="1" applyFill="1" applyBorder="1" applyAlignment="1">
      <x:alignment vertical="center" wrapText="1"/>
    </x:xf>
    <x:xf numFmtId="0" fontId="14" fillId="0" borderId="16" xfId="0" applyNumberFormat="1" applyFont="1" applyFill="1" applyBorder="1"/>
    <x:xf numFmtId="0" fontId="14" fillId="0" borderId="16" xfId="0" applyNumberFormat="1" applyFont="1" applyFill="1" applyBorder="1" applyAlignment="1">
      <x:alignment wrapText="1"/>
    </x:xf>
    <x:xf numFmtId="0" fontId="14" fillId="0" borderId="16" xfId="0" applyNumberFormat="1" applyFont="1" applyFill="1" applyBorder="1" applyAlignment="1">
      <x:alignment vertical="top" wrapText="1"/>
    </x:xf>
    <x:xf numFmtId="0" fontId="15" fillId="9" borderId="13" xfId="0" applyNumberFormat="1" applyFont="1" applyFill="1" applyBorder="1" applyAlignment="1">
      <x:alignment wrapText="1"/>
    </x:xf>
    <x:xf numFmtId="0" fontId="13" fillId="10" borderId="13" xfId="0" applyNumberFormat="1" applyFont="1" applyFill="1" applyBorder="1" applyAlignment="1">
      <x:alignment wrapText="1"/>
    </x:xf>
    <x:xf numFmtId="0" fontId="15" fillId="9" borderId="15" xfId="0" applyNumberFormat="1" applyFont="1" applyFill="1" applyBorder="1" applyAlignment="1">
      <x:alignment wrapText="1"/>
    </x:xf>
    <x:xf numFmtId="0" fontId="0" fillId="0" borderId="15" xfId="0" applyNumberFormat="1" applyFont="1" applyFill="1" applyBorder="1" applyAlignment="1">
      <x:alignment wrapText="1"/>
    </x:xf>
    <x:xf numFmtId="0" fontId="0" fillId="11" borderId="0" xfId="0" applyNumberFormat="1" applyFont="1" applyFill="1" applyBorder="1"/>
    <x:xf numFmtId="0" fontId="12" fillId="11" borderId="0" xfId="0" applyNumberFormat="1" applyFont="1" applyFill="1" applyBorder="1"/>
    <x:xf numFmtId="0" fontId="12" fillId="11" borderId="0" xfId="0" applyNumberFormat="1" applyFont="1" applyFill="1" applyBorder="1" applyAlignment="1">
      <x:alignment vertical="center"/>
    </x:xf>
    <x:xf numFmtId="0" fontId="0" fillId="12" borderId="0" xfId="0" applyNumberFormat="1" applyFont="1" applyFill="1" applyBorder="1"/>
    <x:xf numFmtId="0" fontId="13" fillId="12" borderId="0" xfId="0" applyNumberFormat="1" applyFont="1" applyFill="1" applyBorder="1"/>
    <x:xf numFmtId="0" fontId="13" fillId="12" borderId="17" xfId="0" applyNumberFormat="1" applyFont="1" applyFill="1" applyBorder="1"/>
    <x:xf numFmtId="0" fontId="13" fillId="12" borderId="17" xfId="0" applyNumberFormat="1" applyFont="1" applyFill="1" applyBorder="1" applyAlignment="1">
      <x:alignment wrapText="1"/>
    </x:xf>
    <x:xf numFmtId="0" fontId="13" fillId="12" borderId="17" xfId="0" applyNumberFormat="1" applyFont="1" applyFill="1" applyBorder="1" applyAlignment="1">
      <x:alignment vertical="center" wrapText="1"/>
    </x:xf>
    <x:xf numFmtId="0" fontId="14" fillId="0" borderId="18" xfId="0" applyNumberFormat="1" applyFont="1" applyFill="1" applyBorder="1"/>
    <x:xf numFmtId="0" fontId="14" fillId="0" borderId="18" xfId="0" applyNumberFormat="1" applyFont="1" applyFill="1" applyBorder="1" applyAlignment="1">
      <x:alignment wrapText="1"/>
    </x:xf>
    <x:xf numFmtId="0" fontId="14" fillId="0" borderId="18" xfId="0" applyNumberFormat="1" applyFont="1" applyFill="1" applyBorder="1" applyAlignment="1">
      <x:alignment vertical="top" wrapText="1"/>
    </x:xf>
    <x:xf numFmtId="0" fontId="15" fillId="11" borderId="15" xfId="0" applyNumberFormat="1" applyFont="1" applyFill="1" applyBorder="1" applyAlignment="1">
      <x:alignment wrapText="1"/>
    </x:xf>
    <x:xf numFmtId="0" fontId="13" fillId="12" borderId="15" xfId="0" applyNumberFormat="1" applyFont="1" applyFill="1" applyBorder="1" applyAlignment="1">
      <x:alignment wrapText="1"/>
    </x:xf>
    <x:xf numFmtId="0" fontId="15" fillId="11" borderId="17" xfId="0" applyNumberFormat="1" applyFont="1" applyFill="1" applyBorder="1" applyAlignment="1">
      <x:alignment wrapText="1"/>
    </x:xf>
    <x:xf numFmtId="0" fontId="0" fillId="0" borderId="17" xfId="0" applyNumberFormat="1" applyFont="1" applyFill="1" applyBorder="1" applyAlignment="1">
      <x:alignment wrapText="1"/>
    </x:xf>
    <x:xf numFmtId="0" fontId="0" fillId="13" borderId="0" xfId="0" applyNumberFormat="1" applyFont="1" applyFill="1" applyBorder="1"/>
    <x:xf numFmtId="0" fontId="12" fillId="13" borderId="0" xfId="0" applyNumberFormat="1" applyFont="1" applyFill="1" applyBorder="1"/>
    <x:xf numFmtId="0" fontId="12" fillId="13" borderId="0" xfId="0" applyNumberFormat="1" applyFont="1" applyFill="1" applyBorder="1" applyAlignment="1">
      <x:alignment vertical="center"/>
    </x:xf>
    <x:xf numFmtId="0" fontId="0" fillId="14" borderId="0" xfId="0" applyNumberFormat="1" applyFont="1" applyFill="1" applyBorder="1"/>
    <x:xf numFmtId="0" fontId="13" fillId="14" borderId="0" xfId="0" applyNumberFormat="1" applyFont="1" applyFill="1" applyBorder="1"/>
    <x:xf numFmtId="0" fontId="13" fillId="14" borderId="19" xfId="0" applyNumberFormat="1" applyFont="1" applyFill="1" applyBorder="1"/>
    <x:xf numFmtId="0" fontId="13" fillId="14" borderId="19" xfId="0" applyNumberFormat="1" applyFont="1" applyFill="1" applyBorder="1" applyAlignment="1">
      <x:alignment wrapText="1"/>
    </x:xf>
    <x:xf numFmtId="0" fontId="13" fillId="14" borderId="19" xfId="0" applyNumberFormat="1" applyFont="1" applyFill="1" applyBorder="1" applyAlignment="1">
      <x:alignment vertical="center" wrapText="1"/>
    </x:xf>
    <x:xf numFmtId="0" fontId="14" fillId="0" borderId="20" xfId="0" applyNumberFormat="1" applyFont="1" applyFill="1" applyBorder="1"/>
    <x:xf numFmtId="0" fontId="14" fillId="0" borderId="20" xfId="0" applyNumberFormat="1" applyFont="1" applyFill="1" applyBorder="1" applyAlignment="1">
      <x:alignment wrapText="1"/>
    </x:xf>
    <x:xf numFmtId="0" fontId="14" fillId="0" borderId="20" xfId="0" applyNumberFormat="1" applyFont="1" applyFill="1" applyBorder="1" applyAlignment="1">
      <x:alignment vertical="top" wrapText="1"/>
    </x:xf>
    <x:xf numFmtId="0" fontId="15" fillId="13" borderId="17" xfId="0" applyNumberFormat="1" applyFont="1" applyFill="1" applyBorder="1" applyAlignment="1">
      <x:alignment wrapText="1"/>
    </x:xf>
    <x:xf numFmtId="0" fontId="13" fillId="14" borderId="17" xfId="0" applyNumberFormat="1" applyFont="1" applyFill="1" applyBorder="1" applyAlignment="1">
      <x:alignment wrapText="1"/>
    </x:xf>
    <x:xf numFmtId="0" fontId="15" fillId="13" borderId="19" xfId="0" applyNumberFormat="1" applyFont="1" applyFill="1" applyBorder="1" applyAlignment="1">
      <x:alignment wrapText="1"/>
    </x:xf>
    <x:xf numFmtId="0" fontId="0" fillId="0" borderId="19" xfId="0" applyNumberFormat="1" applyFont="1" applyFill="1" applyBorder="1" applyAlignment="1">
      <x:alignment wrapText="1"/>
    </x:xf>
  </x:cellXfs>
  <x:cellStyles count="1">
    <x:cellStyle name="Normal" xfId="0"/>
  </x:cellStyles>
  <x:dxfs count="5">
    <x:dxf>
      <x:font>
        <x:b/>
        <x:color rgb="FF274E13"/>
      </x:font>
      <x:fill>
        <x:patternFill>
          <x:bgColor rgb="FFD9EAD3"/>
        </x:patternFill>
      </x:fill>
    </x:dxf>
    <x:dxf>
      <x:font>
        <x:b/>
        <x:color rgb="FF274E13"/>
      </x:font>
      <x:fill>
        <x:patternFill>
          <x:bgColor rgb="FFD9EAD3"/>
        </x:patternFill>
      </x:fill>
    </x:dxf>
    <x:dxf>
      <x:font>
        <x:color rgb="FF783F04"/>
      </x:font>
      <x:fill>
        <x:patternFill>
          <x:bgColor rgb="FFFCE5CD"/>
        </x:patternFill>
      </x:fill>
    </x:dxf>
    <x:dxf>
      <x:font>
        <x:b/>
        <x:color rgb="FF274E13"/>
      </x:font>
      <x:fill>
        <x:patternFill>
          <x:bgColor rgb="FFD9EAD3"/>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0ab9bca0a2b4567" /><Relationship Type="http://schemas.openxmlformats.org/officeDocument/2006/relationships/theme" Target="/xl/theme/theme1.xml" Id="Rafb77af55c1a4a70" /><Relationship Type="http://schemas.openxmlformats.org/officeDocument/2006/relationships/sharedStrings" Target="/xl/sharedStrings.xml" Id="Ra248c3f62d144a21" /><Relationship Type="http://schemas.openxmlformats.org/officeDocument/2006/relationships/worksheet" Target="/xl/worksheets/sheet1.xml" Id="R716cc185b97a4765" /><Relationship Type="http://schemas.openxmlformats.org/officeDocument/2006/relationships/worksheet" Target="/xl/worksheets/sheet2.xml" Id="R0a5fca9c609c4d6f" /><Relationship Type="http://schemas.openxmlformats.org/officeDocument/2006/relationships/worksheet" Target="/xl/worksheets/sheet3.xml" Id="Reb55ea0f5e7d47c2" /><Relationship Type="http://schemas.openxmlformats.org/officeDocument/2006/relationships/worksheet" Target="/xl/worksheets/sheet4.xml" Id="R10e2bd6f7d02465c" /><Relationship Type="http://schemas.openxmlformats.org/officeDocument/2006/relationships/worksheet" Target="/xl/worksheets/sheet5.xml" Id="R03b70621aa65432e" /><Relationship Type="http://schemas.openxmlformats.org/officeDocument/2006/relationships/worksheet" Target="/xl/worksheets/sheet6.xml" Id="R2cab1669d3bf4894" /><Relationship Type="http://schemas.microsoft.com/office/2017/10/relationships/person" Target="/xl/persons/person.xml" Id="Rcd0c587d66a44a47" /></Relationships>
</file>

<file path=xl/persons/person.xml><?xml version="1.0" encoding="utf-8"?>
<xltc:personList xmlns:xltc="http://schemas.microsoft.com/office/spreadsheetml/2018/threadedcomments">
  <xltc:person displayName="Codex" id="{BF996D52-4462-464C-80E7-FC9C69726CD4}"/>
</xltc:personList>
</file>

<file path=xl/tables/table1.xml><?xml version="1.0" encoding="utf-8"?>
<x:table xmlns:x="http://schemas.openxmlformats.org/spreadsheetml/2006/main" id="1" name="OwnerDecisionInputs" displayName="OwnerDecisionInputs" ref="A1:M22" headerRowCount="1" totalsRowCount="0" totalsRowShown="0">
  <x:tableColumns count="13">
    <x:tableColumn id="1" name="ID"/>
    <x:tableColumn id="2" name="专业"/>
    <x:tableColumn id="3" name="优先级"/>
    <x:tableColumn id="4" name="阻塞无保留发布"/>
    <x:tableColumn id="5" name="需要你确认"/>
    <x:tableColumn id="6" name="常见候选（不等于确认）"/>
    <x:tableColumn id="7" name="你的确认值"/>
    <x:tableColumn id="8" name="单位"/>
    <x:tableColumn id="9" name="状态"/>
    <x:tableColumn id="10" name="证据/链接"/>
    <x:tableColumn id="11" name="现有依据"/>
    <x:tableColumn id="12" name="同步目标"/>
    <x:tableColumn id="13" name="备注"/>
  </x:tableColumns>
  <x:tableStyleInfo name="TableStyleMedium2" showFirstColumn="0" showLastColumn="0" showRowStripes="1" showColumnStripes="0"/>
</x:table>
</file>

<file path=xl/tables/table2.xml><?xml version="1.0" encoding="utf-8"?>
<x:table xmlns:x="http://schemas.openxmlformats.org/spreadsheetml/2006/main" id="2" name="ApplianceInputs" displayName="ApplianceInputs" ref="A1:R19" headerRowCount="1" totalsRowCount="0" totalsRowShown="0">
  <x:tableColumns count="18">
    <x:tableColumn id="1" name="设备ID"/>
    <x:tableColumn id="2" name="设备名称"/>
    <x:tableColumn id="3" name="类别"/>
    <x:tableColumn id="4" name="候选存放位置"/>
    <x:tableColumn id="5" name="候选使用位置"/>
    <x:tableColumn id="6" name="确认存放位置"/>
    <x:tableColumn id="7" name="确认使用位置"/>
    <x:tableColumn id="8" name="数量"/>
    <x:tableColumn id="9" name="额定功率(W)"/>
    <x:tableColumn id="10" name="同时使用组"/>
    <x:tableColumn id="11" name="需给水"/>
    <x:tableColumn id="12" name="需排水"/>
    <x:tableColumn id="13" name="需燃气"/>
    <x:tableColumn id="14" name="需通风"/>
    <x:tableColumn id="15" name="型号"/>
    <x:tableColumn id="16" name="证据/链接"/>
    <x:tableColumn id="17" name="状态"/>
    <x:tableColumn id="18" name="备注"/>
  </x:tableColumns>
  <x:tableStyleInfo name="TableStyleMedium2" showFirstColumn="0" showLastColumn="0" showRowStripes="1" showColumnStripes="0"/>
</x:table>
</file>

<file path=xl/tables/table3.xml><?xml version="1.0" encoding="utf-8"?>
<x:table xmlns:x="http://schemas.openxmlformats.org/spreadsheetml/2006/main" id="12" name="设备主表Table" displayName="设备主表Table" ref="A2:AB148" headerRowCount="1" totalsRowCount="0" totalsRowShown="0">
  <x:tableColumns count="28">
    <x:tableColumn id="1" name="equipment_id"/>
    <x:tableColumn id="2" name="domain"/>
    <x:tableColumn id="3" name="category"/>
    <x:tableColumn id="4" name="item_name"/>
    <x:tableColumn id="5" name="manufacturer"/>
    <x:tableColumn id="6" name="model"/>
    <x:tableColumn id="7" name="variant"/>
    <x:tableColumn id="8" name="quantity"/>
    <x:tableColumn id="9" name="procurement_status"/>
    <x:tableColumn id="10" name="decision_status"/>
    <x:tableColumn id="11" name="storage_location_candidate"/>
    <x:tableColumn id="12" name="use_location_candidate"/>
    <x:tableColumn id="13" name="storage_location_confirmed"/>
    <x:tableColumn id="14" name="use_location_confirmed"/>
    <x:tableColumn id="15" name="schedule_included"/>
    <x:tableColumn id="16" name="selector_kind"/>
    <x:tableColumn id="17" name="selector_value"/>
    <x:tableColumn id="18" name="ifc_class"/>
    <x:tableColumn id="19" name="ifc_type_name"/>
    <x:tableColumn id="20" name="ifc_type_global_id"/>
    <x:tableColumn id="21" name="ifc_global_ids"/>
    <x:tableColumn id="22" name="source_ids"/>
    <x:tableColumn id="23" name="identity_basis"/>
    <x:tableColumn id="24" name="confidence"/>
    <x:tableColumn id="25" name="human_review_required"/>
    <x:tableColumn id="26" name="legacy_kind"/>
    <x:tableColumn id="27" name="legacy_id"/>
    <x:tableColumn id="28" name="notes"/>
  </x:tableColumns>
  <x:tableStyleInfo name="TableStyleMedium2" showFirstColumn="0" showLastColumn="0" showRowStripes="1" showColumnStripes="0"/>
</x:table>
</file>

<file path=xl/tables/table4.xml><?xml version="1.0" encoding="utf-8"?>
<x:table xmlns:x="http://schemas.openxmlformats.org/spreadsheetml/2006/main" id="13" name="安装条件Table" displayName="安装条件Table" ref="A2:N398" headerRowCount="1" totalsRowCount="0" totalsRowShown="0">
  <x:tableColumns count="14">
    <x:tableColumn id="1" name="requirement_id"/>
    <x:tableColumn id="2" name="equipment_id"/>
    <x:tableColumn id="3" name="discipline"/>
    <x:tableColumn id="4" name="parameter_key"/>
    <x:tableColumn id="5" name="value_text"/>
    <x:tableColumn id="6" name="value_number"/>
    <x:tableColumn id="7" name="unit"/>
    <x:tableColumn id="8" name="datum"/>
    <x:tableColumn id="9" name="value_origin"/>
    <x:tableColumn id="10" name="status"/>
    <x:tableColumn id="11" name="source_id"/>
    <x:tableColumn id="12" name="source_locator"/>
    <x:tableColumn id="13" name="blocks_release"/>
    <x:tableColumn id="14" name="notes"/>
  </x:tableColumns>
  <x:tableStyleInfo name="TableStyleMedium2" showFirstColumn="0" showLastColumn="0" showRowStripes="1" showColumnStripes="0"/>
</x:table>
</file>

<file path=xl/tables/table5.xml><?xml version="1.0" encoding="utf-8"?>
<x:table xmlns:x="http://schemas.openxmlformats.org/spreadsheetml/2006/main" id="14" name="证据索引Table" displayName="证据索引Table" ref="A2:X91" headerRowCount="1" totalsRowCount="0" totalsRowShown="0">
  <x:tableColumns count="24">
    <x:tableColumn id="1" name="source_id"/>
    <x:tableColumn id="2" name="discipline"/>
    <x:tableColumn id="3" name="sheet_id"/>
    <x:tableColumn id="4" name="decision_scope"/>
    <x:tableColumn id="5" name="source_kind"/>
    <x:tableColumn id="6" name="source_document"/>
    <x:tableColumn id="7" name="source_url"/>
    <x:tableColumn id="8" name="local_path"/>
    <x:tableColumn id="9" name="sha256"/>
    <x:tableColumn id="10" name="locator"/>
    <x:tableColumn id="11" name="evidence"/>
    <x:tableColumn id="12" name="proves"/>
    <x:tableColumn id="13" name="does_not_prove"/>
    <x:tableColumn id="14" name="status"/>
    <x:tableColumn id="15" name="confidence"/>
    <x:tableColumn id="16" name="review_required"/>
    <x:tableColumn id="17" name="formal_ifc_write_allowed"/>
    <x:tableColumn id="18" name="manufacturer"/>
    <x:tableColumn id="19" name="model_scope"/>
    <x:tableColumn id="20" name="revision"/>
    <x:tableColumn id="21" name="publication_date"/>
    <x:tableColumn id="22" name="legacy_targets"/>
    <x:tableColumn id="23" name="legacy_projection_json"/>
    <x:tableColumn id="2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G2" dT="2026-08-12T18:22:19.162" personId="{BF996D52-4462-464C-80E7-FC9C69726CD4}" id="{0CA4BC75-6D01-F19F-6DB5-D8DADA0F9516}">
    <xltc:text>审核动作：在 G2 填写“同意”并把 I2 改为“采用候选”，或写明需要调整的规则。
确认范围仅为墙 Tag：EW01–EW84 / NW01–NW04；不会改变墙几何、位置、宿主关系或门尺寸。
审核图：output/images/A-103-wall-tag-review.png</xltc:text>
  </xltc:threadedComment>
</xltc:ThreadedComments>
</file>

<file path=xl/worksheets/_rels/sheet2.xml.rels>&#65279;<?xml version="1.0" encoding="utf-8"?><Relationships xmlns="http://schemas.openxmlformats.org/package/2006/relationships"><Relationship Type="http://schemas.openxmlformats.org/officeDocument/2006/relationships/comments" Target="/xl/comments1.xml" Id="R497e65e659db4e88" /><Relationship Type="http://schemas.openxmlformats.org/officeDocument/2006/relationships/vmlDrawing" Target="/xl/drawings/vmldrawing.vml" Id="R2d0e8529d4e74f1c" /><Relationship Type="http://schemas.microsoft.com/office/2017/10/relationships/threadedComment" Target="/xl/threadedcomments/threadedcomment.xml" Id="Rcebc7d21467648f4" /><Relationship Type="http://schemas.openxmlformats.org/officeDocument/2006/relationships/table" Target="/xl/tables/table1.xml" Id="R02743a3186c6440c" /></Relationships>
</file>

<file path=xl/worksheets/_rels/sheet3.xml.rels>&#65279;<?xml version="1.0" encoding="utf-8"?><Relationships xmlns="http://schemas.openxmlformats.org/package/2006/relationships"><Relationship Type="http://schemas.openxmlformats.org/officeDocument/2006/relationships/table" Target="/xl/tables/table2.xml" Id="Rf60ac126ebdf4bd3" /></Relationships>
</file>

<file path=xl/worksheets/_rels/sheet4.xml.rels>&#65279;<?xml version="1.0" encoding="utf-8"?><Relationships xmlns="http://schemas.openxmlformats.org/package/2006/relationships"><Relationship Type="http://schemas.openxmlformats.org/officeDocument/2006/relationships/table" Target="/xl/tables/table3.xml" Id="R4d3be995382f496b" /></Relationships>
</file>

<file path=xl/worksheets/_rels/sheet5.xml.rels>&#65279;<?xml version="1.0" encoding="utf-8"?><Relationships xmlns="http://schemas.openxmlformats.org/package/2006/relationships"><Relationship Type="http://schemas.openxmlformats.org/officeDocument/2006/relationships/table" Target="/xl/tables/table4.xml" Id="Ra3fc13b48e404a9d" /></Relationships>
</file>

<file path=xl/worksheets/_rels/sheet6.xml.rels>&#65279;<?xml version="1.0" encoding="utf-8"?><Relationships xmlns="http://schemas.openxmlformats.org/package/2006/relationships"><Relationship Type="http://schemas.openxmlformats.org/officeDocument/2006/relationships/table" Target="/xl/tables/table5.xml" Id="Rcaf65b1b3e5742d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78" hidden="0" customWidth="1"/>
  </x:cols>
  <x:sheetData>
    <x:row r="1" ht="34" customHeight="1">
      <x:c r="A1" s="25" t="str">
        <x:v>仁恒滨海湾｜施工输入清单</x:v>
      </x:c>
      <x:c r="B1" s="25"/>
      <x:c r="C1" s="25"/>
      <x:c r="D1" s="25"/>
      <x:c r="E1" s="25"/>
      <x:c r="F1" s="25"/>
      <x:c r="G1" s="25"/>
      <x:c r="H1" s="25"/>
    </x:row>
    <x:row r="2">
      <x:c r="A2" s="26"/>
      <x:c r="B2" s="26"/>
      <x:c r="C2" s="26"/>
      <x:c r="D2" s="26"/>
      <x:c r="E2" s="26"/>
      <x:c r="F2" s="26"/>
      <x:c r="G2" s="26"/>
      <x:c r="H2" s="26"/>
    </x:row>
    <x:row r="3" ht="34" customHeight="1">
      <x:c r="A3" s="27" t="str">
        <x:v>只填写黄色单元格。灰色候选值不是确认；如接受候选，请把状态改为“采用候选”。</x:v>
      </x:c>
      <x:c r="B3" s="27"/>
      <x:c r="C3" s="27"/>
      <x:c r="D3" s="27"/>
      <x:c r="E3" s="27"/>
      <x:c r="F3" s="27"/>
      <x:c r="G3" s="27"/>
      <x:c r="H3" s="27"/>
    </x:row>
    <x:row r="4">
      <x:c r="A4" s="26"/>
      <x:c r="B4" s="26"/>
      <x:c r="C4" s="26"/>
      <x:c r="D4" s="26"/>
      <x:c r="E4" s="26"/>
      <x:c r="F4" s="26"/>
      <x:c r="G4" s="26"/>
      <x:c r="H4" s="26"/>
    </x:row>
    <x:row r="5">
      <x:c r="A5" s="28" t="str">
        <x:v>填写步骤</x:v>
      </x:c>
      <x:c r="B5" s="29" t="str">
        <x:v>说明</x:v>
      </x:c>
      <x:c r="C5" s="26"/>
      <x:c r="D5" s="26"/>
      <x:c r="E5" s="26"/>
      <x:c r="F5" s="26"/>
      <x:c r="G5" s="26"/>
      <x:c r="H5" s="26"/>
    </x:row>
    <x:row r="6">
      <x:c r="A6" s="30" t="str">
        <x:v>1</x:v>
      </x:c>
      <x:c r="B6" s="31" t="str">
        <x:v>先完成“设计决策”中的 P0 行：填写你的确认值、状态和证据/链接。</x:v>
      </x:c>
      <x:c r="C6" s="26"/>
      <x:c r="D6" s="26"/>
      <x:c r="E6" s="26"/>
      <x:c r="F6" s="26"/>
      <x:c r="G6" s="26"/>
      <x:c r="H6" s="26"/>
    </x:row>
    <x:row r="7">
      <x:c r="A7" s="30" t="str">
        <x:v>2</x:v>
      </x:c>
      <x:c r="B7" s="31" t="str">
        <x:v>在“家电清单”中分别填写确认存放位置与确认使用位置，不要混为一列。</x:v>
      </x:c>
      <x:c r="C7" s="26"/>
      <x:c r="D7" s="26"/>
      <x:c r="E7" s="26"/>
      <x:c r="F7" s="26"/>
      <x:c r="G7" s="26"/>
      <x:c r="H7" s="26"/>
    </x:row>
    <x:row r="8">
      <x:c r="A8" s="30" t="str">
        <x:v>3</x:v>
      </x:c>
      <x:c r="B8" s="31" t="str">
        <x:v>填写型号与铭牌额定功率；脚本按“同时使用组”汇总已知连接负荷。</x:v>
      </x:c>
      <x:c r="C8" s="26"/>
      <x:c r="D8" s="26"/>
      <x:c r="E8" s="26"/>
      <x:c r="F8" s="26"/>
      <x:c r="G8" s="26"/>
      <x:c r="H8" s="26"/>
    </x:row>
    <x:row r="9">
      <x:c r="A9" s="30" t="str">
        <x:v>4</x:v>
      </x:c>
      <x:c r="B9" s="31" t="str">
        <x:v>保存工作簿后交回 Codex；先跑 dry-run，确认差异后再 apply。</x:v>
      </x:c>
      <x:c r="C9" s="26"/>
      <x:c r="D9" s="26"/>
      <x:c r="E9" s="26"/>
      <x:c r="F9" s="26"/>
      <x:c r="G9" s="26"/>
      <x:c r="H9" s="26"/>
    </x:row>
    <x:row r="10">
      <x:c r="A10" s="32" t="str">
        <x:v>5</x:v>
      </x:c>
      <x:c r="B10" s="33" t="str">
        <x:v>同步不会直接修改正式 IFC；IFC 仍按独立 save/reload/机械 QA 批次执行。</x:v>
      </x:c>
      <x:c r="C10" s="26"/>
      <x:c r="D10" s="26"/>
      <x:c r="E10" s="26"/>
      <x:c r="F10" s="26"/>
      <x:c r="G10" s="26"/>
      <x:c r="H10" s="26"/>
    </x:row>
    <x:row r="11">
      <x:c r="A11" s="26"/>
      <x:c r="B11" s="26"/>
      <x:c r="C11" s="26"/>
      <x:c r="D11" s="26"/>
      <x:c r="E11" s="26"/>
      <x:c r="F11" s="26"/>
      <x:c r="G11" s="26"/>
      <x:c r="H11" s="26"/>
    </x:row>
    <x:row r="12">
      <x:c r="A12" s="34" t="str">
        <x:v>实时汇总</x:v>
      </x:c>
      <x:c r="B12" s="35" t="str">
        <x:v>数量</x:v>
      </x:c>
      <x:c r="C12" s="26"/>
      <x:c r="D12" s="26"/>
      <x:c r="E12" s="26"/>
      <x:c r="F12" s="26"/>
      <x:c r="G12" s="26"/>
      <x:c r="H12" s="26"/>
    </x:row>
    <x:row r="13">
      <x:c r="A13" s="36" t="str">
        <x:v>设计决策总数</x:v>
      </x:c>
      <x:c r="B13" s="37" t="n">
        <x:f>COUNTA('设计决策'!A2:A24)</x:f>
        <x:v>23</x:v>
      </x:c>
      <x:c r="C13" s="26"/>
      <x:c r="D13" s="26"/>
      <x:c r="E13" s="26"/>
      <x:c r="F13" s="26"/>
      <x:c r="G13" s="26"/>
      <x:c r="H13" s="26"/>
    </x:row>
    <x:row r="14">
      <x:c r="A14" s="36" t="str">
        <x:v>仍阻塞无保留发布</x:v>
      </x:c>
      <x:c r="B14" s="37" t="n">
        <x:f>COUNTIFS('设计决策'!D2:D24,"yes",'设计决策'!I2:I24,"&lt;&gt;采用候选",'设计决策'!I2:I24,"&lt;&gt;自定义确认",'设计决策'!I2:I24,"&lt;&gt;不适用")</x:f>
        <x:v>20</x:v>
      </x:c>
      <x:c r="C14" s="26"/>
      <x:c r="D14" s="26"/>
      <x:c r="E14" s="26"/>
      <x:c r="F14" s="26"/>
      <x:c r="G14" s="26"/>
      <x:c r="H14" s="26"/>
    </x:row>
    <x:row r="15">
      <x:c r="A15" s="36" t="str">
        <x:v>家电条目总数</x:v>
      </x:c>
      <x:c r="B15" s="37" t="n">
        <x:f>COUNTA('家电清单'!A2:A19)</x:f>
        <x:v>18</x:v>
      </x:c>
      <x:c r="C15" s="26"/>
      <x:c r="D15" s="26"/>
      <x:c r="E15" s="26"/>
      <x:c r="F15" s="26"/>
      <x:c r="G15" s="26"/>
      <x:c r="H15" s="26"/>
    </x:row>
    <x:row r="16">
      <x:c r="A16" s="38" t="str">
        <x:v>家电已确认</x:v>
      </x:c>
      <x:c r="B16" s="39" t="n">
        <x:f>COUNTIF('家电清单'!Q2:Q19,"已确认")</x:f>
        <x:v>3</x:v>
      </x:c>
      <x:c r="C16" s="26"/>
      <x:c r="D16" s="26"/>
      <x:c r="E16" s="26"/>
      <x:c r="F16" s="26"/>
      <x:c r="G16" s="26"/>
      <x:c r="H16" s="26"/>
    </x:row>
    <x:row r="18" ht="15" hidden="0" customHeight="1">
      <x:c r="A18" s="111" t="str">
        <x:v>单一真源与同步</x:v>
      </x:c>
      <x:c r="B18" s="111" t="str">
        <x:v>说明</x:v>
      </x:c>
    </x:row>
    <x:row r="19" ht="15" hidden="0" customHeight="1">
      <x:c r="A19" s="104" t="str">
        <x:v>权威写入</x:v>
      </x:c>
      <x:c r="B19" s="112" t="str">
        <x:v>项目内三张 CSV：设备主表、安装条件、证据索引</x:v>
      </x:c>
    </x:row>
    <x:row r="20" ht="15" hidden="0" customHeight="1">
      <x:c r="A20" s="104" t="str">
        <x:v>业主输入</x:v>
      </x:c>
      <x:c r="B20" s="112" t="str">
        <x:v>家电清单仍可编辑；运行 pipeline:owner-inputs-apply 后写入权威表</x:v>
      </x:c>
    </x:row>
    <x:row r="21" ht="15" hidden="0" customHeight="1">
      <x:c r="A21" s="104" t="str">
        <x:v>派生视图</x:v>
      </x:c>
      <x:c r="B21" s="112" t="str">
        <x:v>设备主表／安装条件／证据索引仅供查看，不应手工编辑</x:v>
      </x:c>
    </x:row>
    <x:row r="22" ht="15" hidden="0" customHeight="1">
      <x:c r="A22" s="104" t="str">
        <x:v>机械校验</x:v>
      </x:c>
      <x:c r="B22" s="112" t="str">
        <x:v>pipeline:equipment-ssot-check：schema + 跨表 + 投影漂移 + IFC GlobalId 覆盖</x:v>
      </x:c>
    </x:row>
  </x:sheetData>
  <x:mergeCells>
    <x:mergeCell ref="A1:H1"/>
    <x:mergeCell ref="A3:H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10" hidden="0" customWidth="1"/>
    <x:col min="4" max="4" width="10" hidden="0" customWidth="1"/>
    <x:col min="5" max="5" width="42" hidden="0" customWidth="1"/>
    <x:col min="6" max="6" width="48" hidden="0" customWidth="1"/>
    <x:col min="7" max="7" width="30" hidden="0" customWidth="1"/>
    <x:col min="8" max="8" width="10" hidden="0" customWidth="1"/>
    <x:col min="9" max="9" width="14" hidden="0" customWidth="1"/>
    <x:col min="10" max="10" width="30" hidden="0" customWidth="1"/>
    <x:col min="11" max="11" width="42" hidden="0" customWidth="1"/>
    <x:col min="12" max="12" width="24" hidden="0" customWidth="1"/>
    <x:col min="13" max="13" width="36" hidden="0" customWidth="1"/>
  </x:cols>
  <x:sheetData>
    <x:row r="1" ht="38" customHeight="1">
      <x:c r="A1" s="44" t="str">
        <x:v>ID</x:v>
      </x:c>
      <x:c r="B1" s="44" t="str">
        <x:v>专业</x:v>
      </x:c>
      <x:c r="C1" s="44" t="str">
        <x:v>优先级</x:v>
      </x:c>
      <x:c r="D1" s="44" t="str">
        <x:v>阻塞无保留发布</x:v>
      </x:c>
      <x:c r="E1" s="44" t="str">
        <x:v>需要你确认</x:v>
      </x:c>
      <x:c r="F1" s="44" t="str">
        <x:v>常见候选（不等于确认）</x:v>
      </x:c>
      <x:c r="G1" s="44" t="str">
        <x:v>你的确认值</x:v>
      </x:c>
      <x:c r="H1" s="44" t="str">
        <x:v>单位</x:v>
      </x:c>
      <x:c r="I1" s="44" t="str">
        <x:v>状态</x:v>
      </x:c>
      <x:c r="J1" s="44" t="str">
        <x:v>证据/链接</x:v>
      </x:c>
      <x:c r="K1" s="44" t="str">
        <x:v>现有依据</x:v>
      </x:c>
      <x:c r="L1" s="44" t="str">
        <x:v>同步目标</x:v>
      </x:c>
      <x:c r="M1" s="44" t="str">
        <x:v>备注</x:v>
      </x:c>
    </x:row>
    <x:row r="2" ht="54" customHeight="1">
      <x:c r="A2" s="40" t="str">
        <x:v>A103-WALL-TAG-SCHEME</x:v>
      </x:c>
      <x:c r="B2" s="40" t="str">
        <x:v>A-103</x:v>
      </x:c>
      <x:c r="C2" s="40" t="str">
        <x:v>P0</x:v>
      </x:c>
      <x:c r="D2" s="40" t="str">
        <x:v>yes</x:v>
      </x:c>
      <x:c r="E2" s="47" t="str">
        <x:v>请确认 88 面最终建成墙是否采用现状墙 EW01–EW84、新建墙 NW01–NW04 的编号规则</x:v>
      </x:c>
      <x:c r="F2" s="48" t="str">
        <x:v>按 EXISTING/NEW 分组；各组北到南、同排西到东、最后按 GlobalId 稳定排序</x:v>
      </x:c>
      <x:c r="G2" s="49" t="str"/>
      <x:c r="H2" s="47" t="str"/>
      <x:c r="I2" s="49" t="str">
        <x:v>待填写</x:v>
      </x:c>
      <x:c r="J2" s="49" t="str">
        <x:v>output/images/A-103-wall-tag-review.png;build/a103/a103-wall-tag-candidate.json</x:v>
      </x:c>
      <x:c r="K2" s="47" t="str">
        <x:v>候选图含 88 个无碰撞标签；候选 IDS 587/593；875 个受保护产品几何和 placement 变化 0.0 mm</x:v>
      </x:c>
      <x:c r="L2" s="47" t="str">
        <x:v>A103 wall tags;P0 IDS</x:v>
      </x:c>
      <x:c r="M2" s="47" t="str">
        <x:v>确认后仅写入 88 面最终建成 IfcWall.Tag；不改几何、placement、宿主关系或 M05–M07 尺寸</x:v>
      </x:c>
    </x:row>
    <x:row r="3" ht="54" customHeight="1">
      <x:c r="A3" s="40" t="str">
        <x:v>A104-M05-M06-DIMENSIONS</x:v>
      </x:c>
      <x:c r="B3" s="40" t="str">
        <x:v>A-104/INT1</x:v>
      </x:c>
      <x:c r="C3" s="40" t="str">
        <x:v>P0</x:v>
      </x:c>
      <x:c r="D3" s="40" t="str">
        <x:v>yes</x:v>
      </x:c>
      <x:c r="E3" s="47" t="str">
        <x:v>请提供 M05/M06 Rimadesio Sail 同樘门的项目订单、门窗表或厂家 shop drawing，明确整樘洞口尺寸以及门板与轨道各自的宽高口径</x:v>
      </x:c>
      <x:c r="F3" s="48" t="str">
        <x:v>以项目订单或厂家安装图为准；分别定义 M05 格栅门板与 M06 轨道的 OverallWidth/OverallHeight，不采用模型包围盒或通用目录尺寸</x:v>
      </x:c>
      <x:c r="G3" s="49" t="str"/>
      <x:c r="H3" s="47" t="str"/>
      <x:c r="I3" s="49" t="str">
        <x:v>需证据</x:v>
      </x:c>
      <x:c r="J3" s="49" t="str">
        <x:v>https://www.rimadesio.it/en/product/sail/</x:v>
      </x:c>
      <x:c r="K3" s="47" t="str">
        <x:v>M05 与 M06 已确认属于同一樘 Sail 门并组成精确双成员 IfcGroup；当前两对象均无宿主且名义宽高为空</x:v>
      </x:c>
      <x:c r="L3" s="47" t="str">
        <x:v>A104 M05-M06 dimensions;P0 IDS</x:v>
      </x:c>
      <x:c r="M3" s="47" t="str">
        <x:v>证据必须能定位到本项目订单或安装包；产品通用页面只证明系列身份，不能关闭 4 个名义尺寸</x:v>
      </x:c>
    </x:row>
    <x:row r="4" ht="54" customHeight="1">
      <x:c r="A4" s="40" t="str">
        <x:v>A104-M07-EVIDENCE</x:v>
      </x:c>
      <x:c r="B4" s="40" t="str">
        <x:v>A-104/E-302</x:v>
      </x:c>
      <x:c r="C4" s="40" t="str">
        <x:v>P0</x:v>
      </x:c>
      <x:c r="D4" s="40" t="str">
        <x:v>yes</x:v>
      </x:c>
      <x:c r="E4" s="47" t="str">
        <x:v>请提供主卧门 M07 的项目 CAD、门表、订单或现场开门照片，确认名义宽高、合页侧、开启方向和门后占墙</x:v>
      </x:c>
      <x:c r="F4" s="48" t="str">
        <x:v>Master A 优选位于门扇开启后贴墙侧；宽高必须来自项目证据，不能采用模型包围盒</x:v>
      </x:c>
      <x:c r="G4" s="49" t="str">
        <x:v>Master A</x:v>
      </x:c>
      <x:c r="H4" s="47" t="str"/>
      <x:c r="I4" s="49" t="str">
        <x:v>需证据</x:v>
      </x:c>
      <x:c r="J4" s="49" t="str">
        <x:v>https://www.poliform.it/en/products/pivot/; https://s3.poliform.it/2025/04/Poliform_Architectural_2024.pdf; Pivot between wardrobe and wall: freestanding wardrobe and wall mounted Pivot</x:v>
      </x:c>
      <x:c r="K4" s="47" t="str">
        <x:v>用户已确认 Master A 更符合实际开门贴墙关系；当前 IFC 无宿主洞口、OverallWidth/OverallHeight 为空且 OperationType=NOTDEFINED</x:v>
      </x:c>
      <x:c r="L4" s="47" t="str">
        <x:v>A104-R03;E302-MASTER-SIDE;P0 IDS</x:v>
      </x:c>
      <x:c r="M4" s="47" t="str">
        <x:v>候选侧已优选但施工点位和名义宽高未冻结；产品通用资料不能替代本项目门扇尺寸与开启关系</x:v>
      </x:c>
    </x:row>
    <x:row r="5" ht="54" customHeight="1">
      <x:c r="A5" s="40" t="str">
        <x:v>E302-ENTRY-SIDE</x:v>
      </x:c>
      <x:c r="B5" s="40" t="str">
        <x:v>E-302</x:v>
      </x:c>
      <x:c r="C5" s="40" t="str">
        <x:v>P0</x:v>
      </x:c>
      <x:c r="D5" s="40" t="str">
        <x:v>yes</x:v>
      </x:c>
      <x:c r="E5" s="47" t="str">
        <x:v>入户控制面板最终采用 Entry A 还是 Entry B</x:v>
      </x:c>
      <x:c r="F5" s="48" t="str">
        <x:v>Entry A（靠进入后顺手侧且避开门扇/门套）</x:v>
      </x:c>
      <x:c r="G5" s="49" t="str">
        <x:v>Entry A</x:v>
      </x:c>
      <x:c r="H5" s="47" t="str"/>
      <x:c r="I5" s="49" t="str">
        <x:v>待填写</x:v>
      </x:c>
      <x:c r="J5" s="49" t="str"/>
      <x:c r="K5" s="47" t="str">
        <x:v>门口控制应位于真实墙面并满足门扇和柜门操作</x:v>
      </x:c>
      <x:c r="L5" s="47" t="str">
        <x:v>E302 entry control</x:v>
      </x:c>
      <x:c r="M5" s="47" t="str">
        <x:v>需结合现场开门方向和门套净宽</x:v>
      </x:c>
    </x:row>
    <x:row r="6" ht="54" customHeight="1">
      <x:c r="A6" s="40" t="str">
        <x:v>E302-ENTRY-PANEL</x:v>
      </x:c>
      <x:c r="B6" s="40" t="str">
        <x:v>E-302</x:v>
      </x:c>
      <x:c r="C6" s="40" t="str">
        <x:v>P0</x:v>
      </x:c>
      <x:c r="D6" s="40" t="str">
        <x:v>yes</x:v>
      </x:c>
      <x:c r="E6" s="47" t="str">
        <x:v>入户面板包含哪些键以及采用一块还是分组面板</x:v>
      </x:c>
      <x:c r="F6" s="48" t="str">
        <x:v>客厅双控；书房双控；餐厅双控；照明总控，优先一体四位或相邻同高分组</x:v>
      </x:c>
      <x:c r="G6" s="49" t="str">
        <x:v>这款怎么样？matter 协议？那是什么？knx吗？可以安卓用吗？苹果手机是可以用倒是</x:v>
      </x:c>
      <x:c r="H6" s="47" t="str"/>
      <x:c r="I6" s="49" t="str">
        <x:v>待填写</x:v>
      </x:c>
      <x:c r="J6" s="49" t="str">
        <x:v>【淘宝】假一赔四 https://e.tb.cn/h.87aSpFYZgStgIgK?tk=DBrSTaSu8bF CZ057 「JINK Switch EGG智能墙壁开关场景EGG直连全屋智能家居Thread」
CSA JINK 8e: https://csa-iot.org/csa_product/jink-8e-switch-series-6/
Apple Matter: https://support.apple.com/en-ie/102135
Google Matter: https://support.google.com/googlehome/answer/12391458?hl=en
KNX position: https://knx.org/news/knx-and-matter-position-paper</x:v>
      </x:c>
      <x:c r="K6" s="47" t="str">
        <x:v>CSA 官方库确认 Longan Link 的 JINK 8e 系列存在 Matter 1.1、Thread + Bluetooth 认证；Apple 和 Google 官方均支持 Matter 多生态控制；KNX 官方将 Matter 视为可结合但不同的体系</x:v>
      </x:c>
      <x:c r="L6" s="47" t="str">
        <x:v>E302 entry panel</x:v>
      </x:c>
      <x:c r="M6" s="47" t="str">
        <x:v>Matter 不是 KNX；Android 与 Apple 均可通过相应 Matter 平台控制；Thread 设备需 Thread Border Router。淘宝 EGG 具体 SKU 尚未对应到 CSA Family SKU，且负载类型、零火线、面板模数和接线图未核实，不得选定</x:v>
      </x:c>
    </x:row>
    <x:row r="7" ht="54" customHeight="1">
      <x:c r="A7" s="40" t="str">
        <x:v>E302-MASTER-SIDE</x:v>
      </x:c>
      <x:c r="B7" s="40" t="str">
        <x:v>E-302</x:v>
      </x:c>
      <x:c r="C7" s="40" t="str">
        <x:v>P0</x:v>
      </x:c>
      <x:c r="D7" s="40" t="str">
        <x:v>yes</x:v>
      </x:c>
      <x:c r="E7" s="47" t="str">
        <x:v>主卧内 Master A 与主卧入口外 Master B 的真实墙侧分别在哪里</x:v>
      </x:c>
      <x:c r="F7" s="48" t="str">
        <x:v>Master A 位于主卧内门后贴墙侧并控制主卧氛围/重点照明；Master B 位于主卧入口外并控制客厅/书房/餐厅三组双控；两处均待 A-104 关闭真实墙侧</x:v>
      </x:c>
      <x:c r="G7" s="49" t="str">
        <x:v>Master A，控制主卧氛围照明和重点照明的按钮，在主卧内，不是控制外部客厅书房餐厅的
PS: 这款也不错，考虑到开关要安装到衣柜的见光板上</x:v>
      </x:c>
      <x:c r="H7" s="47" t="str"/>
      <x:c r="I7" s="49" t="str">
        <x:v>需证据</x:v>
      </x:c>
      <x:c r="J7" s="49" t="str">
        <x:v>【淘宝】假一赔四 https://e.tb.cn/h.87aqXDS1nDac9bu?tk=4YpQTa7crQs CZ005 「JINK Switch 2.5DNeo Matter墙壁开关欧规英规通用苹果玻璃开关」
点击链接直接打开 或者 淘宝搜索直接打开</x:v>
      </x:c>
      <x:c r="K7" s="47" t="str">
        <x:v>用户已明确 Master A 在主卧内、Master B 在主卧入口外，两者不是二选一；当前 IFC 的 M07 仍缺少可靠开启方向证据</x:v>
      </x:c>
      <x:c r="L7" s="47" t="str">
        <x:v>E302 master control;A104-R03</x:v>
      </x:c>
      <x:c r="M7" s="47" t="str">
        <x:v>A-104 取证后分别冻结两块面板墙侧、门套净距和见光板安装条件</x:v>
      </x:c>
    </x:row>
    <x:row r="8" ht="54" customHeight="1">
      <x:c r="A8" s="40" t="str">
        <x:v>E302-MASTER-PANEL</x:v>
      </x:c>
      <x:c r="B8" s="40" t="str">
        <x:v>E-302</x:v>
      </x:c>
      <x:c r="C8" s="40" t="str">
        <x:v>P0</x:v>
      </x:c>
      <x:c r="D8" s="40" t="str">
        <x:v>yes</x:v>
      </x:c>
      <x:c r="E8" s="47" t="str">
        <x:v>Master A 与 Master B 分别包含哪些键以及采用何种键序</x:v>
      </x:c>
      <x:c r="F8" s="48" t="str">
        <x:v>Master A：主卧氛围照明、主卧重点照明；Master B：客厅双控、书房双控、餐厅双控；常用键靠近门侧</x:v>
      </x:c>
      <x:c r="G8" s="49" t="str">
        <x:v>我转念一想客厅双控；书房双控；餐厅双控需要安装在Master B，是在主卧入口，但不在主卧空间</x:v>
      </x:c>
      <x:c r="H8" s="47" t="str"/>
      <x:c r="I8" s="49" t="str">
        <x:v>待填写</x:v>
      </x:c>
      <x:c r="J8" s="49" t="str"/>
      <x:c r="K8" s="47" t="str">
        <x:v>用户已明确主卧内照明控制与客厅/书房/餐厅三组双控分别由 Master A、Master B 承担</x:v>
      </x:c>
      <x:c r="L8" s="47" t="str">
        <x:v>E302 master panels</x:v>
      </x:c>
      <x:c r="M8" s="47" t="str">
        <x:v>面板底边候选为完成地面上 1300 mm；最终键序和产品模数仍待关闭</x:v>
      </x:c>
    </x:row>
    <x:row r="9" ht="54" customHeight="1">
      <x:c r="A9" s="40" t="str">
        <x:v>E303-NS01-FORM</x:v>
      </x:c>
      <x:c r="B9" s="40" t="str">
        <x:v>E-303</x:v>
      </x:c>
      <x:c r="C9" s="40" t="str">
        <x:v>P0</x:v>
      </x:c>
      <x:c r="D9" s="40" t="str">
        <x:v>yes</x:v>
      </x:c>
      <x:c r="E9" s="47" t="str">
        <x:v>岛台 NS-01 采用何种插座型式及安装面</x:v>
      </x:c>
      <x:c r="F9" s="48" t="str">
        <x:v>岛台 countertop 与桌面 overlap 下方的三个面各设 1 个隐藏盖板式插座位；银色五孔滑盖产品为选型方向；最终按 VVD 详图确认开孔和安装面</x:v>
      </x:c>
      <x:c r="G9" s="49" t="str">
        <x:v>VVD岛台下方就有插座位，在countertop与桌面overlap的位置下方，默认是隐藏面板式的插座。三个面每个面各一个</x:v>
      </x:c>
      <x:c r="H9" s="47" t="str"/>
      <x:c r="I9" s="49" t="str">
        <x:v>采用候选</x:v>
      </x:c>
      <x:c r="J9" s="49" t="str">
        <x:v>/Users/jiaxinchen/Downloads/Deco DL/Molteni&amp;C/VVD/dwg-2d-vvd-showroom-drawing.dwg
【淘宝】大促价保 https://e.tb.cn/h.87ZCCiBFxejNblD?tk=1aPCTai8okP CA381 「施耐德官方旗舰店滑盖式地插五孔插座面板家用地板六类电脑插座」
点击链接直接打开 或者 淘宝搜索直接打开
选用银色5孔地插，这样有个盖子美观</x:v>
      </x:c>
      <x:c r="K9" s="47" t="str">
        <x:v>用户在 Google Sheet 明确 VVD 岛台下方已有插座位且三个面每面各一个；脚本区分全部列出设备连接包络 2.6–4.9kW 与火锅加搅拌机或 sous-vide 同时包络 1.8–3.7kW</x:v>
      </x:c>
      <x:c r="L9" s="47" t="str">
        <x:v>E303 NS-01</x:v>
      </x:c>
      <x:c r="M9" s="47" t="str">
        <x:v>最终由家电表额定功率和同时使用组计算</x:v>
      </x:c>
    </x:row>
    <x:row r="10" ht="54" customHeight="1">
      <x:c r="A10" s="40" t="str">
        <x:v>E303-NS01-CIRCUIT</x:v>
      </x:c>
      <x:c r="B10" s="40" t="str">
        <x:v>E-303</x:v>
      </x:c>
      <x:c r="C10" s="40" t="str">
        <x:v>P0</x:v>
      </x:c>
      <x:c r="D10" s="40" t="str">
        <x:v>yes</x:v>
      </x:c>
      <x:c r="E10" s="47" t="str">
        <x:v>岛台移动厨电是否允许同时使用</x:v>
      </x:c>
      <x:c r="F10" s="48" t="str">
        <x:v>按用户确认的火锅加一件小厨电同时使用核算；2 个独立插座回路作为容量候选并将火锅与其余移动厨电分开；最终按铭牌复核</x:v>
      </x:c>
      <x:c r="G10" s="49" t="str">
        <x:v>同意按火锅与一件小厨电可能同时使用；</x:v>
      </x:c>
      <x:c r="H10" s="47" t="str"/>
      <x:c r="I10" s="49" t="str">
        <x:v>采用候选</x:v>
      </x:c>
      <x:c r="J10" s="49" t="str"/>
      <x:c r="K10" s="47" t="str">
        <x:v>同时使用包络约 1.8–3.7kW；上限略高于单个 220V/16A-class 插座规划容量；不据此自动确定线径、保护器或 RCD</x:v>
      </x:c>
      <x:c r="L10" s="47" t="str">
        <x:v>E303 NS-01 load</x:v>
      </x:c>
      <x:c r="M10" s="47" t="str">
        <x:v>脚本只汇总负荷不自动确定保护器规格</x:v>
      </x:c>
    </x:row>
    <x:row r="11" ht="54" customHeight="1">
      <x:c r="A11" s="40" t="str">
        <x:v>E303-NS02-FORM</x:v>
      </x:c>
      <x:c r="B11" s="40" t="str">
        <x:v>E-303</x:v>
      </x:c>
      <x:c r="C11" s="40" t="str">
        <x:v>P0</x:v>
      </x:c>
      <x:c r="D11" s="40" t="str">
        <x:v>yes</x:v>
      </x:c>
      <x:c r="E11" s="47" t="str">
        <x:v>餐边柜 NS-02 插座数量与安装型式</x:v>
      </x:c>
      <x:c r="F11" s="48" t="str">
        <x:v>极简线性轨道插座或自制隐藏翻盖作为两种选型方向；至少满足咖啡机、手冲壶和磨豆机三个连接需求；最终按餐边柜立面关闭</x:v>
      </x:c>
      <x:c r="G11" s="49" t="str">
        <x:v>要么是这种极简的线性插座，要么是自制翻盖</x:v>
      </x:c>
      <x:c r="H11" s="47" t="str"/>
      <x:c r="I11" s="49" t="str">
        <x:v>待填写</x:v>
      </x:c>
      <x:c r="J11" s="49" t="str">
        <x:v>【淘宝】7天无理由退货 https://e.tb.cn/h.870VzbZFjDRIqEn?tk=ySVHTair9B8 CZ001 「XPOWER滑轨插座线性导轨道插排厨房超薄隐藏式隐形内嵌入式多功能」</x:v>
      </x:c>
      <x:c r="K11" s="47" t="str">
        <x:v>用户在 Google Sheet 明确要么极简线性插座要么自制翻盖；实际使用场景为咖啡机/手冲壶/磨豆机；全部列出设备连接包络 2.35–4.0kW</x:v>
      </x:c>
      <x:c r="L11" s="47" t="str">
        <x:v>E303 NS-02</x:v>
      </x:c>
      <x:c r="M11" s="47" t="str">
        <x:v>需结合餐边柜立面和线缆遮挡</x:v>
      </x:c>
    </x:row>
    <x:row r="12" ht="54" customHeight="1">
      <x:c r="A12" s="40" t="str">
        <x:v>E303-NS02-CIRCUIT</x:v>
      </x:c>
      <x:c r="B12" s="40" t="str">
        <x:v>E-303</x:v>
      </x:c>
      <x:c r="C12" s="40" t="str">
        <x:v>P0</x:v>
      </x:c>
      <x:c r="D12" s="40" t="str">
        <x:v>yes</x:v>
      </x:c>
      <x:c r="E12" s="47" t="str">
        <x:v>咖啡机与电热水壶是否会同时使用</x:v>
      </x:c>
      <x:c r="F12" s="48" t="str">
        <x:v>按用户确认咖啡机与手冲壶不会同时使用核算；磨豆机可与咖啡机同用；1 个回路作为容量候选；最终按产品铭牌复核</x:v>
      </x:c>
      <x:c r="G12" s="49" t="str">
        <x:v>不会，咖啡机是喝拿铁的。手冲壶是喝pour over的</x:v>
      </x:c>
      <x:c r="H12" s="47" t="str"/>
      <x:c r="I12" s="49" t="str">
        <x:v>采用候选</x:v>
      </x:c>
      <x:c r="J12" s="49" t="str">
        <x:v>hario手冲壶都行1200W
咖啡机是lamarzocco 推荐GS3。或者黑鹰Victoria Arduino</x:v>
      </x:c>
      <x:c r="K12" s="47" t="str">
        <x:v>同时使用包络约 1.0–2.2kW；低于单个 220V/16A-class 插座规划容量；不据此自动确定线径、保护器或 RCD</x:v>
      </x:c>
      <x:c r="L12" s="47" t="str">
        <x:v>E303 NS-02 load</x:v>
      </x:c>
      <x:c r="M12" s="47" t="str">
        <x:v>脚本只汇总负荷不虚构产品功率</x:v>
      </x:c>
    </x:row>
    <x:row r="13" ht="54" customHeight="1">
      <x:c r="A13" s="40" t="str">
        <x:v>E304-GATEWAY-IDENTITY</x:v>
      </x:c>
      <x:c r="B13" s="40" t="str">
        <x:v>E-304</x:v>
      </x:c>
      <x:c r="C13" s="40" t="str">
        <x:v>P0</x:v>
      </x:c>
      <x:c r="D13" s="40" t="str">
        <x:v>yes</x:v>
      </x:c>
      <x:c r="E13" s="47" t="str">
        <x:v>弱电箱内 Huawei 设备的准确型号与功能是什么</x:v>
      </x:c>
      <x:c r="F13" s="48" t="str">
        <x:v>拍摄设备底部铭牌；分别确认光猫/路由器/AP/运营商网关角色</x:v>
      </x:c>
      <x:c r="G13" s="49" t="str">
        <x:v>这个无所谓的，我自己买个能塞进去的就行。现在是V175+卧室的K155。我肯定要根据AP来决定买哪款</x:v>
      </x:c>
      <x:c r="H13" s="47" t="str"/>
      <x:c r="I13" s="49" t="str">
        <x:v>需证据</x:v>
      </x:c>
      <x:c r="J13" s="49" t="str">
        <x:v>【淘宝】7天无理由退货 https://e.tb.cn/h.870CJ6ZBs0WvR2W?tk=v0vCTaRQytp HU926 「华为FTTR全光组网青春版V175/K155/K155-11智能组网WIFI6+3000M」
点击链接直接打开 或者 淘宝搜索直接打开</x:v>
      </x:c>
      <x:c r="K13" s="47" t="str">
        <x:v>现场照片只证明现有 Huawei 联通智家设备在箱内运行</x:v>
      </x:c>
      <x:c r="L13" s="47" t="str">
        <x:v>E304 equipment register</x:v>
      </x:c>
      <x:c r="M13" s="47" t="str">
        <x:v>未取证前不得锁定网络功能</x:v>
      </x:c>
    </x:row>
    <x:row r="14" ht="54" customHeight="1">
      <x:c r="A14" s="40" t="str">
        <x:v>E304-CABINET-DIMENSIONS</x:v>
      </x:c>
      <x:c r="B14" s="40" t="str">
        <x:v>E-304</x:v>
      </x:c>
      <x:c r="C14" s="40" t="str">
        <x:v>P0</x:v>
      </x:c>
      <x:c r="D14" s="40" t="str">
        <x:v>yes</x:v>
      </x:c>
      <x:c r="E14" s="47" t="str">
        <x:v>请填写弱电箱和所在柜格的净宽×净高×净深</x:v>
      </x:c>
      <x:c r="F14" s="48" t="str">
        <x:v>现场实测三向净尺寸</x:v>
      </x:c>
      <x:c r="G14" s="49" t="str">
        <x:v>深110x长350x高260，离入户墙：45+400+80=525m</x:v>
      </x:c>
      <x:c r="H14" s="47" t="str">
        <x:v>mm</x:v>
      </x:c>
      <x:c r="I14" s="49" t="str">
        <x:v>待填写</x:v>
      </x:c>
      <x:c r="J14" s="49" t="str">
        <x:v>https://app.notion.com/p/weihanshen/3b9fda08ab6c805bbc4bef80fa997bc4?source=copy_link</x:v>
      </x:c>
      <x:c r="K14" s="47" t="str">
        <x:v>官方 CAD 和现场照片已确认位置但没有净尺寸</x:v>
      </x:c>
      <x:c r="L14" s="47" t="str">
        <x:v>E304 cabinet</x:v>
      </x:c>
      <x:c r="M14" s="47" t="str">
        <x:v>同时记录柜门关闭后的可用空间</x:v>
      </x:c>
    </x:row>
    <x:row r="15" ht="54" customHeight="1">
      <x:c r="A15" s="40" t="str">
        <x:v>E304-CABINET-VENTILATION</x:v>
      </x:c>
      <x:c r="B15" s="40" t="str">
        <x:v>E-304</x:v>
      </x:c>
      <x:c r="C15" s="40" t="str">
        <x:v>P0</x:v>
      </x:c>
      <x:c r="D15" s="40" t="str">
        <x:v>yes</x:v>
      </x:c>
      <x:c r="E15" s="47" t="str">
        <x:v>柜门关闭时是否有通风孔/缝及设备持续运行温升</x:v>
      </x:c>
      <x:c r="F15" s="48" t="str">
        <x:v>关闭柜门运行 2 小时后记录箱内或设备表面温度；拍摄通风条件</x:v>
      </x:c>
      <x:c r="G15" s="49" t="str">
        <x:v>弱电箱盖板上有通风孔，温度摸起来正常，30-40度</x:v>
      </x:c>
      <x:c r="H15" s="47" t="str">
        <x:v>°C</x:v>
      </x:c>
      <x:c r="I15" s="49" t="str">
        <x:v>待填写</x:v>
      </x:c>
      <x:c r="J15" s="49" t="str"/>
      <x:c r="K15" s="47" t="str">
        <x:v>现有设备实际在弱电箱内部运行</x:v>
      </x:c>
      <x:c r="L15" s="47" t="str">
        <x:v>E304 thermal review</x:v>
      </x:c>
      <x:c r="M15" s="47" t="str">
        <x:v>温升不合格时再评估移至非金属通风层板</x:v>
      </x:c>
    </x:row>
    <x:row r="16" ht="54" customHeight="1">
      <x:c r="A16" s="40" t="str">
        <x:v>E304-CABLE-CONTINUITY</x:v>
      </x:c>
      <x:c r="B16" s="40" t="str">
        <x:v>E-304</x:v>
      </x:c>
      <x:c r="C16" s="40" t="str">
        <x:v>P0</x:v>
      </x:c>
      <x:c r="D16" s="40" t="str">
        <x:v>yes</x:v>
      </x:c>
      <x:c r="E16" s="47" t="str">
        <x:v>三根橙色网线分别通往哪个房间/面板</x:v>
      </x:c>
      <x:c r="F16" s="48" t="str">
        <x:v>逐根用测线仪确认客厅/次卧/主卧并记录两端标签</x:v>
      </x:c>
      <x:c r="G16" s="49" t="str">
        <x:v>主卧次卧客厅（旋转180度查看图片）</x:v>
      </x:c>
      <x:c r="H16" s="47" t="str"/>
      <x:c r="I16" s="49" t="str">
        <x:v>待填写</x:v>
      </x:c>
      <x:c r="J16" s="49" t="str"/>
      <x:c r="K16" s="47" t="str">
        <x:v>照片标签只是候选不能替代通断测试</x:v>
      </x:c>
      <x:c r="L16" s="47" t="str">
        <x:v>E304 port map</x:v>
      </x:c>
      <x:c r="M16" s="47" t="str">
        <x:v>允许增加其他实测线缆行到证据备注</x:v>
      </x:c>
    </x:row>
    <x:row r="17" ht="54" customHeight="1">
      <x:c r="A17" s="40" t="str">
        <x:v>E304-AP-POWER</x:v>
      </x:c>
      <x:c r="B17" s="40" t="str">
        <x:v>E-304</x:v>
      </x:c>
      <x:c r="C17" s="40" t="str">
        <x:v>P0</x:v>
      </x:c>
      <x:c r="D17" s="40" t="str">
        <x:v>yes</x:v>
      </x:c>
      <x:c r="E17" s="47" t="str">
        <x:v>主卧和次卧 AP 采用 PoE 还是本地电源</x:v>
      </x:c>
      <x:c r="F17" s="48" t="str">
        <x:v>按最终 AP 型号二选一：PoE 时弱电箱配置兼容供电端口并校核功率预算；本地电源时在隐蔽吊顶检修范围内预留可维护电源</x:v>
      </x:c>
      <x:c r="G17" s="49" t="str">
        <x:v>我不知道，PoE是什么意思。目前的K155是有电源的。我们要隐蔽安装，天花内估计要预留电源</x:v>
      </x:c>
      <x:c r="H17" s="47" t="str"/>
      <x:c r="I17" s="49" t="str">
        <x:v>待填写</x:v>
      </x:c>
      <x:c r="J17" s="49" t="str"/>
      <x:c r="K17" s="47" t="str">
        <x:v>用户说明现有 K155 使用本地电源；卧室 AP 点位已有平面/标高候选但最终设备和供电方式未关闭</x:v>
      </x:c>
      <x:c r="L17" s="47" t="str">
        <x:v>E304 AP topology</x:v>
      </x:c>
      <x:c r="M17" s="47" t="str">
        <x:v>不得在 AP 型号确定前把 PoE 或本地电源写成最终方案</x:v>
      </x:c>
    </x:row>
    <x:row r="18" ht="54" customHeight="1">
      <x:c r="A18" s="40" t="str">
        <x:v>A106-FIRE-TYPE</x:v>
      </x:c>
      <x:c r="B18" s="40" t="str">
        <x:v>A-106</x:v>
      </x:c>
      <x:c r="C18" s="40" t="str">
        <x:v>P0</x:v>
      </x:c>
      <x:c r="D18" s="40" t="str">
        <x:v>yes</x:v>
      </x:c>
      <x:c r="E18" s="47" t="str">
        <x:v>厨房已确认点位最终采用感温/感烟/复合探测器及产品</x:v>
      </x:c>
      <x:c r="F18" s="48" t="str">
        <x:v>厨房油烟环境下感温优先作为协调候选；最终由消防/设备方确认</x:v>
      </x:c>
      <x:c r="G18" s="49" t="str">
        <x:v>泛海三江温感JTW-ZD-920A20复合式感烟感温火灾探测器</x:v>
      </x:c>
      <x:c r="H18" s="47" t="str"/>
      <x:c r="I18" s="49" t="str">
        <x:v>需证据</x:v>
      </x:c>
      <x:c r="J18" s="49" t="str">
        <x:v>A106-FIRE-OFFICIAL-001;A106-FIRE-OFFICIAL-002;A106-FIRE-OFFICIAL-003</x:v>
      </x:c>
      <x:c r="K18" s="47" t="str">
        <x:v>厂家官方资料分别证明 JTW-ZD-A20 与 JTW-ZD-920E 是感温型，复合式使用独立型号 JTF-GDM-936；用户文本无法匹配为一个官方产品</x:v>
      </x:c>
      <x:c r="L18" s="47" t="str">
        <x:v>A106-FIRE-R04</x:v>
      </x:c>
      <x:c r="M18" s="47" t="str">
        <x:v>正式 IFC 只保留已确认 IfcSensor/FIRESENSOR 点位；不得把拼接型号、复合身份或候选尺寸写成正式产品</x:v>
      </x:c>
    </x:row>
    <x:row r="19" ht="54" customHeight="1">
      <x:c r="A19" s="40" t="str">
        <x:v>A106-GAS-ALARM</x:v>
      </x:c>
      <x:c r="B19" s="40" t="str">
        <x:v>A-106</x:v>
      </x:c>
      <x:c r="C19" s="40" t="str">
        <x:v>P1</x:v>
      </x:c>
      <x:c r="D19" s="40" t="str">
        <x:v>yes</x:v>
      </x:c>
      <x:c r="E19" s="47" t="str">
        <x:v>燃气报警器型号/供电/通信/燃气公司安装条件</x:v>
      </x:c>
      <x:c r="F19" s="48" t="str">
        <x:v>先向燃气公司确认允许型号与距灶具/阀门/顶棚要求</x:v>
      </x:c>
      <x:c r="G19" s="49" t="str">
        <x:v>燃气报警器JT-GS838C-NBAC-H05移动</x:v>
      </x:c>
      <x:c r="H19" s="47" t="str"/>
      <x:c r="I19" s="49" t="str">
        <x:v>需证据</x:v>
      </x:c>
      <x:c r="J19" s="49" t="str">
        <x:v>A106-GAS-OFFICIAL-001</x:v>
      </x:c>
      <x:c r="K19" s="47" t="str">
        <x:v>厂家官方页面只证明 JT-GS838 系列的家用甲烷探测器属性；未匹配精确后缀 C-NBAC-H05 及其当前认证</x:v>
      </x:c>
      <x:c r="L19" s="47" t="str">
        <x:v>A106 gas alarm</x:v>
      </x:c>
      <x:c r="M19" s="47" t="str">
        <x:v>精确型号、燃气公司准入、施工距离和官方说明书关闭前不得锁定开孔或供电通信方案</x:v>
      </x:c>
    </x:row>
    <x:row r="20" ht="54" customHeight="1">
      <x:c r="A20" s="40" t="str">
        <x:v>WFIN-WHITE-SYSTEM</x:v>
      </x:c>
      <x:c r="B20" s="40" t="str">
        <x:v>WFIN/DET1</x:v>
      </x:c>
      <x:c r="C20" s="40" t="str">
        <x:v>P1</x:v>
      </x:c>
      <x:c r="D20" s="40" t="str">
        <x:v>yes</x:v>
      </x:c>
      <x:c r="E20" s="47" t="str">
        <x:v>大白墙最终涂料体系/色号/光泽/完成面总厚</x:v>
      </x:c>
      <x:c r="F20" s="48" t="str">
        <x:v>耐擦洗哑光乳胶漆体系作为比较候选，不代表选定产品</x:v>
      </x:c>
      <x:c r="G20" s="49" t="str">
        <x:v>谢柯大白墙，全生堂，1mm?</x:v>
      </x:c>
      <x:c r="H20" s="47" t="str">
        <x:v>mm</x:v>
      </x:c>
      <x:c r="I20" s="49" t="str">
        <x:v>暂缓</x:v>
      </x:c>
      <x:c r="J20" s="49" t="str"/>
      <x:c r="K20" s="47" t="str">
        <x:v>用户要求统一选材时处理</x:v>
      </x:c>
      <x:c r="L20" s="47" t="str">
        <x:v>WFIN-R03</x:v>
      </x:c>
      <x:c r="M20" s="47" t="str">
        <x:v>选择前保持当前大白墙意图</x:v>
      </x:c>
    </x:row>
    <x:row r="21" ht="54" customHeight="1">
      <x:c r="A21" s="40" t="str">
        <x:v>WFIN-TADELAKT</x:v>
      </x:c>
      <x:c r="B21" s="40" t="str">
        <x:v>WFIN/DET1</x:v>
      </x:c>
      <x:c r="C21" s="40" t="str">
        <x:v>P1</x:v>
      </x:c>
      <x:c r="D21" s="40" t="str">
        <x:v>yes</x:v>
      </x:c>
      <x:c r="E21" s="47" t="str">
        <x:v>Tadelakt 最终产品系统/颜色/厚度/基层/湿区防水收口</x:v>
      </x:c>
      <x:c r="F21" s="48" t="str">
        <x:v>以完整厂家系统和湿区节点样板为选择条件</x:v>
      </x:c>
      <x:c r="G21" s="49" t="str">
        <x:v>https://www.modamuri.com/sqztdl.html</x:v>
      </x:c>
      <x:c r="H21" s="47" t="str">
        <x:v>mm</x:v>
      </x:c>
      <x:c r="I21" s="49" t="str">
        <x:v>暂缓</x:v>
      </x:c>
      <x:c r="J21" s="49" t="str"/>
      <x:c r="K21" s="47" t="str">
        <x:v>当前仅确认材料意图未确认产品体系</x:v>
      </x:c>
      <x:c r="L21" s="47" t="str">
        <x:v>WFIN-R02</x:v>
      </x:c>
      <x:c r="M21" s="47" t="str">
        <x:v>不得仅凭效果图替代施工参数</x:v>
      </x:c>
    </x:row>
    <x:row r="22" ht="54" customHeight="1">
      <x:c r="A22" s="40" t="str">
        <x:v>RCP1-HVAC-PORTS</x:v>
      </x:c>
      <x:c r="B22" s="40" t="str">
        <x:v>RCP1</x:v>
      </x:c>
      <x:c r="C22" s="40" t="str">
        <x:v>P0</x:v>
      </x:c>
      <x:c r="D22" s="40" t="str">
        <x:v>yes</x:v>
      </x:c>
      <x:c r="E22" s="47" t="str">
        <x:v>请提供各空调型号的送回风口/冷媒气液管/冷凝水口坐标与方向</x:v>
      </x:c>
      <x:c r="F22" s="48" t="str">
        <x:v>厂家安装图或 BIM/DWG 接口图</x:v>
      </x:c>
      <x:c r="G22" s="49" t="str">
        <x:v>你表里没给我型号</x:v>
      </x:c>
      <x:c r="H22" s="47" t="str"/>
      <x:c r="I22" s="49" t="str">
        <x:v>待填写</x:v>
      </x:c>
      <x:c r="J22" s="49" t="str"/>
      <x:c r="K22" s="47" t="str">
        <x:v>机位和路线骨架已确认但精确端口坐标尚无批准证据</x:v>
      </x:c>
      <x:c r="L22" s="47" t="str">
        <x:v>RCP1C interfaces</x:v>
      </x:c>
      <x:c r="M22" s="47" t="str">
        <x:v>缺资料时只保留路线预览</x:v>
      </x:c>
    </x:row>
    <x:row r="23" ht="66" customHeight="1">
      <x:c r="A23" t="str">
        <x:v>PLUM-ROUGHINS</x:v>
      </x:c>
      <x:c r="B23" t="str">
        <x:v>PLUM/INT1</x:v>
      </x:c>
      <x:c r="C23" t="str">
        <x:v>P0</x:v>
      </x:c>
      <x:c r="D23" t="str">
        <x:v>yes</x:v>
      </x:c>
      <x:c r="E23" t="str">
        <x:v>厨房和洁具设备的给水/排水/热水/电源粗装尺寸依据</x:v>
      </x:c>
      <x:c r="F23" t="str">
        <x:v>按最终产品逐台收集安装图；存放位置不得代替使用和接口位置</x:v>
      </x:c>
      <x:c r="G23" t="str">
        <x:v>写不下</x:v>
      </x:c>
      <x:c r="H23" t="str"/>
      <x:c r="I23" t="str">
        <x:v>需证据</x:v>
      </x:c>
      <x:c r="J23" t="str"/>
      <x:c r="K23" t="str">
        <x:v>现有模型端点不是正式 IfcDistributionPort</x:v>
      </x:c>
      <x:c r="L23" t="str">
        <x:v>PLUM connection register</x:v>
      </x:c>
      <x:c r="M23" t="str">
        <x:v>先从家电清单筛选需要水/排水的设备</x:v>
      </x:c>
    </x:row>
    <x:row r="24" ht="66" customHeight="1">
      <x:c r="A24" t="str">
        <x:v>DET1-WATERPROOF</x:v>
      </x:c>
      <x:c r="B24" t="str">
        <x:v>DET1</x:v>
      </x:c>
      <x:c r="C24" t="str">
        <x:v>P1</x:v>
      </x:c>
      <x:c r="D24" t="str">
        <x:v>yes</x:v>
      </x:c>
      <x:c r="E24" t="str">
        <x:v>厨房/卫生间防水体系、上翻高度和门口收口做法</x:v>
      </x:c>
      <x:c r="F24" t="str">
        <x:v>优先采用完整厂家体系并与地漏坡向/门槛高差一起审核</x:v>
      </x:c>
      <x:c r="G24" t="str"/>
      <x:c r="H24" t="str">
        <x:v>mm</x:v>
      </x:c>
      <x:c r="I24" t="str">
        <x:v>待填写</x:v>
      </x:c>
      <x:c r="J24" t="str"/>
      <x:c r="K24" t="str">
        <x:v>DET1 尚未开始且依赖 WFIN/A105/INT1</x:v>
      </x:c>
      <x:c r="L24" t="str">
        <x:v>DET1 details</x:v>
      </x:c>
      <x:c r="M24" t="str">
        <x:v>常见值只能作为候选不得替代项目做法</x:v>
      </x:c>
    </x:row>
  </x:sheetData>
  <x:conditionalFormatting sqref="I2:I22">
    <x:cfRule type="containsText" dxfId="0" priority="1" operator="containsText" text="采用候选"/>
    <x:cfRule type="containsText" dxfId="1" priority="2" operator="containsText" text="自定义确认"/>
    <x:cfRule type="containsText" dxfId="2" priority="3" operator="containsText" text="需证据"/>
  </x:conditionalFormatting>
  <x:dataValidations count="2">
    <x:dataValidation type="list" sqref="I2:I22">
      <x:formula1>"待填写,采用候选,自定义确认,需证据,暂缓,不适用"</x:formula1>
    </x:dataValidation>
    <x:dataValidation type="list" sqref="I2:I24">
      <x:formula1>"待填写,采用候选,自定义确认,需证据,暂缓,不适用"</x:formula1>
    </x:dataValidation>
  </x:dataValidations>
  <x:pageMargins left="0.7" right="0.7" top="0.75" bottom="0.75" header="0.3" footer="0.3"/>
  <x:legacyDrawing xmlns:r="http://schemas.openxmlformats.org/officeDocument/2006/relationships" r:id="R2d0e8529d4e74f1c"/>
  <x:tableParts count="1">
    <x:tablePart xmlns:r="http://schemas.openxmlformats.org/officeDocument/2006/relationships" r:id="R02743a3186c644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16" hidden="0" customWidth="1"/>
    <x:col min="4" max="4" width="22" hidden="0" customWidth="1"/>
    <x:col min="5" max="5" width="22" hidden="0" customWidth="1"/>
    <x:col min="6" max="6" width="22" hidden="0" customWidth="1"/>
    <x:col min="7" max="7" width="22" hidden="0" customWidth="1"/>
    <x:col min="8" max="8" width="9" hidden="0" customWidth="1"/>
    <x:col min="9" max="9" width="14" hidden="0" customWidth="1"/>
    <x:col min="10" max="10" width="16" hidden="0" customWidth="1"/>
    <x:col min="11" max="11" width="11" hidden="0" customWidth="1"/>
    <x:col min="12" max="12" width="11" hidden="0" customWidth="1"/>
    <x:col min="13" max="13" width="11" hidden="0" customWidth="1"/>
    <x:col min="14" max="14" width="11" hidden="0" customWidth="1"/>
    <x:col min="15" max="15" width="24" hidden="0" customWidth="1"/>
    <x:col min="16" max="16" width="28" hidden="0" customWidth="1"/>
    <x:col min="17" max="17" width="14" hidden="0" customWidth="1"/>
    <x:col min="18" max="18" width="36" hidden="0" customWidth="1"/>
  </x:cols>
  <x:sheetData>
    <x:row r="1" ht="38" customHeight="1">
      <x:c r="A1" s="44" t="str">
        <x:v>设备ID</x:v>
      </x:c>
      <x:c r="B1" s="44" t="str">
        <x:v>设备名称</x:v>
      </x:c>
      <x:c r="C1" s="44" t="str">
        <x:v>类别</x:v>
      </x:c>
      <x:c r="D1" s="44" t="str">
        <x:v>候选存放位置</x:v>
      </x:c>
      <x:c r="E1" s="44" t="str">
        <x:v>候选使用位置</x:v>
      </x:c>
      <x:c r="F1" s="44" t="str">
        <x:v>确认存放位置</x:v>
      </x:c>
      <x:c r="G1" s="44" t="str">
        <x:v>确认使用位置</x:v>
      </x:c>
      <x:c r="H1" s="44" t="str">
        <x:v>数量</x:v>
      </x:c>
      <x:c r="I1" s="44" t="str">
        <x:v>额定功率(W)</x:v>
      </x:c>
      <x:c r="J1" s="44" t="str">
        <x:v>同时使用组</x:v>
      </x:c>
      <x:c r="K1" s="44" t="str">
        <x:v>需给水</x:v>
      </x:c>
      <x:c r="L1" s="44" t="str">
        <x:v>需排水</x:v>
      </x:c>
      <x:c r="M1" s="44" t="str">
        <x:v>需燃气</x:v>
      </x:c>
      <x:c r="N1" s="44" t="str">
        <x:v>需通风</x:v>
      </x:c>
      <x:c r="O1" s="44" t="str">
        <x:v>型号</x:v>
      </x:c>
      <x:c r="P1" s="44" t="str">
        <x:v>证据/链接</x:v>
      </x:c>
      <x:c r="Q1" s="44" t="str">
        <x:v>状态</x:v>
      </x:c>
      <x:c r="R1" s="44" t="str">
        <x:v>备注</x:v>
      </x:c>
    </x:row>
    <x:row r="2" ht="42" customHeight="1">
      <x:c r="A2" s="47" t="str">
        <x:v>APP-001</x:v>
      </x:c>
      <x:c r="B2" s="47" t="str">
        <x:v>火锅电器</x:v>
      </x:c>
      <x:c r="C2" s="47" t="str">
        <x:v>移动厨电</x:v>
      </x:c>
      <x:c r="D2" s="48" t="str">
        <x:v>厨房柜内</x:v>
      </x:c>
      <x:c r="E2" s="48" t="str">
        <x:v>西厨岛台 NS-01</x:v>
      </x:c>
      <x:c r="F2" s="49" t="str"/>
      <x:c r="G2" s="49" t="str">
        <x:v>西厨岛台 NS-01</x:v>
      </x:c>
      <x:c r="H2" s="49" t="str">
        <x:v>1</x:v>
      </x:c>
      <x:c r="I2" s="49" t="str"/>
      <x:c r="J2" s="49" t="str">
        <x:v>NS01-A</x:v>
      </x:c>
      <x:c r="K2" s="49" t="str">
        <x:v>no</x:v>
      </x:c>
      <x:c r="L2" s="49" t="str">
        <x:v>no</x:v>
      </x:c>
      <x:c r="M2" s="49" t="str">
        <x:v>no</x:v>
      </x:c>
      <x:c r="N2" s="49" t="str">
        <x:v>no</x:v>
      </x:c>
      <x:c r="O2" s="49" t="str"/>
      <x:c r="P2" s="49" t="str"/>
      <x:c r="Q2" s="49" t="str">
        <x:v>部分确认</x:v>
      </x:c>
      <x:c r="R2" s="49" t="str">
        <x:v>实际使用位置已由用户说明；补型号与铭牌功率</x:v>
      </x:c>
    </x:row>
    <x:row r="3" ht="42" customHeight="1">
      <x:c r="A3" s="47" t="str">
        <x:v>APP-002</x:v>
      </x:c>
      <x:c r="B3" s="47" t="str">
        <x:v>搅拌机</x:v>
      </x:c>
      <x:c r="C3" s="47" t="str">
        <x:v>移动厨电</x:v>
      </x:c>
      <x:c r="D3" s="48" t="str">
        <x:v>厨房柜内</x:v>
      </x:c>
      <x:c r="E3" s="48" t="str">
        <x:v>西厨岛台 NS-01</x:v>
      </x:c>
      <x:c r="F3" s="49" t="str"/>
      <x:c r="G3" s="49" t="str">
        <x:v>西厨岛台 NS-01</x:v>
      </x:c>
      <x:c r="H3" s="49" t="str">
        <x:v>1</x:v>
      </x:c>
      <x:c r="I3" s="49" t="str"/>
      <x:c r="J3" s="49" t="str">
        <x:v>NS01-B</x:v>
      </x:c>
      <x:c r="K3" s="49" t="str">
        <x:v>no</x:v>
      </x:c>
      <x:c r="L3" s="49" t="str">
        <x:v>no</x:v>
      </x:c>
      <x:c r="M3" s="49" t="str">
        <x:v>no</x:v>
      </x:c>
      <x:c r="N3" s="49" t="str">
        <x:v>no</x:v>
      </x:c>
      <x:c r="O3" s="49" t="str"/>
      <x:c r="P3" s="49" t="str"/>
      <x:c r="Q3" s="49" t="str">
        <x:v>部分确认</x:v>
      </x:c>
      <x:c r="R3" s="49" t="str">
        <x:v>用户已确认可与火锅同时使用；仍缺型号与铭牌功率</x:v>
      </x:c>
    </x:row>
    <x:row r="4" ht="42" customHeight="1">
      <x:c r="A4" s="47" t="str">
        <x:v>APP-003</x:v>
      </x:c>
      <x:c r="B4" s="47" t="str">
        <x:v>Sous-vide 棒</x:v>
      </x:c>
      <x:c r="C4" s="47" t="str">
        <x:v>移动厨电</x:v>
      </x:c>
      <x:c r="D4" s="48" t="str">
        <x:v>厨房柜内</x:v>
      </x:c>
      <x:c r="E4" s="48" t="str">
        <x:v>西厨岛台 NS-01</x:v>
      </x:c>
      <x:c r="F4" s="49" t="str"/>
      <x:c r="G4" s="49" t="str">
        <x:v>西厨岛台 NS-01</x:v>
      </x:c>
      <x:c r="H4" s="49" t="str">
        <x:v>1</x:v>
      </x:c>
      <x:c r="I4" s="49" t="str"/>
      <x:c r="J4" s="49" t="str">
        <x:v>NS01-B</x:v>
      </x:c>
      <x:c r="K4" s="49" t="str">
        <x:v>no</x:v>
      </x:c>
      <x:c r="L4" s="49" t="str">
        <x:v>no</x:v>
      </x:c>
      <x:c r="M4" s="49" t="str">
        <x:v>no</x:v>
      </x:c>
      <x:c r="N4" s="49" t="str">
        <x:v>no</x:v>
      </x:c>
      <x:c r="O4" s="49" t="str"/>
      <x:c r="P4" s="49" t="str"/>
      <x:c r="Q4" s="49" t="str">
        <x:v>部分确认</x:v>
      </x:c>
      <x:c r="R4" s="49" t="str">
        <x:v>长时间运行需确认容器和插座位置</x:v>
      </x:c>
    </x:row>
    <x:row r="5" ht="42" customHeight="1">
      <x:c r="A5" s="47" t="str">
        <x:v>APP-004</x:v>
      </x:c>
      <x:c r="B5" s="47" t="str">
        <x:v>咖啡机</x:v>
      </x:c>
      <x:c r="C5" s="47" t="str">
        <x:v>咖啡设备</x:v>
      </x:c>
      <x:c r="D5" s="48" t="str">
        <x:v>餐边柜</x:v>
      </x:c>
      <x:c r="E5" s="48" t="str">
        <x:v>餐边柜 NS-02</x:v>
      </x:c>
      <x:c r="F5" s="49" t="str"/>
      <x:c r="G5" s="49" t="str">
        <x:v>餐边柜 NS-02</x:v>
      </x:c>
      <x:c r="H5" s="49" t="str">
        <x:v>1</x:v>
      </x:c>
      <x:c r="I5" s="49" t="str"/>
      <x:c r="J5" s="49" t="str">
        <x:v>NS02-A</x:v>
      </x:c>
      <x:c r="K5" s="49" t="str">
        <x:v>model_dependent</x:v>
      </x:c>
      <x:c r="L5" s="49" t="str">
        <x:v>model_dependent</x:v>
      </x:c>
      <x:c r="M5" s="49" t="str">
        <x:v>no</x:v>
      </x:c>
      <x:c r="N5" s="49" t="str">
        <x:v>no</x:v>
      </x:c>
      <x:c r="O5" s="49" t="str"/>
      <x:c r="P5" s="49" t="str"/>
      <x:c r="Q5" s="49" t="str">
        <x:v>部分确认</x:v>
      </x:c>
      <x:c r="R5" s="49" t="str">
        <x:v>实际使用位置已由用户说明</x:v>
      </x:c>
    </x:row>
    <x:row r="6" ht="42" customHeight="1">
      <x:c r="A6" s="47" t="str">
        <x:v>APP-005</x:v>
      </x:c>
      <x:c r="B6" s="47" t="str">
        <x:v>手冲电热水壶</x:v>
      </x:c>
      <x:c r="C6" s="47" t="str">
        <x:v>咖啡设备</x:v>
      </x:c>
      <x:c r="D6" s="48" t="str">
        <x:v>餐边柜</x:v>
      </x:c>
      <x:c r="E6" s="48" t="str">
        <x:v>餐边柜 NS-02</x:v>
      </x:c>
      <x:c r="F6" s="49" t="str"/>
      <x:c r="G6" s="49" t="str">
        <x:v>餐边柜 NS-02</x:v>
      </x:c>
      <x:c r="H6" s="49" t="str">
        <x:v>1</x:v>
      </x:c>
      <x:c r="I6" s="49" t="str"/>
      <x:c r="J6" s="49" t="str">
        <x:v>NS02-A</x:v>
      </x:c>
      <x:c r="K6" s="49" t="str">
        <x:v>no</x:v>
      </x:c>
      <x:c r="L6" s="49" t="str">
        <x:v>no</x:v>
      </x:c>
      <x:c r="M6" s="49" t="str">
        <x:v>no</x:v>
      </x:c>
      <x:c r="N6" s="49" t="str">
        <x:v>no</x:v>
      </x:c>
      <x:c r="O6" s="49" t="str"/>
      <x:c r="P6" s="49" t="str"/>
      <x:c r="Q6" s="49" t="str">
        <x:v>部分确认</x:v>
      </x:c>
      <x:c r="R6" s="49" t="str">
        <x:v>用户已确认不与咖啡机同时使用；仍缺最终型号与铭牌功率</x:v>
      </x:c>
    </x:row>
    <x:row r="7" ht="42" customHeight="1">
      <x:c r="A7" s="47" t="str">
        <x:v>APP-006</x:v>
      </x:c>
      <x:c r="B7" s="47" t="str">
        <x:v>磨豆机</x:v>
      </x:c>
      <x:c r="C7" s="47" t="str">
        <x:v>咖啡设备</x:v>
      </x:c>
      <x:c r="D7" s="48" t="str">
        <x:v>餐边柜</x:v>
      </x:c>
      <x:c r="E7" s="48" t="str">
        <x:v>餐边柜 NS-02</x:v>
      </x:c>
      <x:c r="F7" s="49" t="str"/>
      <x:c r="G7" s="49" t="str">
        <x:v>餐边柜 NS-02</x:v>
      </x:c>
      <x:c r="H7" s="49" t="str">
        <x:v>1</x:v>
      </x:c>
      <x:c r="I7" s="49" t="str"/>
      <x:c r="J7" s="49" t="str">
        <x:v>NS02-B</x:v>
      </x:c>
      <x:c r="K7" s="49" t="str">
        <x:v>no</x:v>
      </x:c>
      <x:c r="L7" s="49" t="str">
        <x:v>no</x:v>
      </x:c>
      <x:c r="M7" s="49" t="str">
        <x:v>no</x:v>
      </x:c>
      <x:c r="N7" s="49" t="str">
        <x:v>no</x:v>
      </x:c>
      <x:c r="O7" s="49" t="str"/>
      <x:c r="P7" s="49" t="str"/>
      <x:c r="Q7" s="49" t="str">
        <x:v>部分确认</x:v>
      </x:c>
      <x:c r="R7" s="49" t="str">
        <x:v>补型号与铭牌功率</x:v>
      </x:c>
    </x:row>
    <x:row r="8" ht="42" customHeight="1">
      <x:c r="A8" s="47" t="str">
        <x:v>APP-007</x:v>
      </x:c>
      <x:c r="B8" s="47" t="str">
        <x:v>冰箱 1</x:v>
      </x:c>
      <x:c r="C8" s="47" t="str">
        <x:v>固定厨房电器</x:v>
      </x:c>
      <x:c r="D8" s="48" t="str">
        <x:v>西厨</x:v>
      </x:c>
      <x:c r="E8" s="48" t="str">
        <x:v>西厨</x:v>
      </x:c>
      <x:c r="F8" s="49" t="str"/>
      <x:c r="G8" s="49" t="str">
        <x:v>西厨</x:v>
      </x:c>
      <x:c r="H8" s="49" t="str">
        <x:v>1</x:v>
      </x:c>
      <x:c r="I8" s="49" t="str"/>
      <x:c r="J8" s="49" t="str">
        <x:v>CONTINUOUS</x:v>
      </x:c>
      <x:c r="K8" s="49" t="str">
        <x:v>no</x:v>
      </x:c>
      <x:c r="L8" s="49" t="str">
        <x:v>no</x:v>
      </x:c>
      <x:c r="M8" s="49" t="str">
        <x:v>no</x:v>
      </x:c>
      <x:c r="N8" s="49" t="str">
        <x:v>yes</x:v>
      </x:c>
      <x:c r="O8" s="49" t="str"/>
      <x:c r="P8" s="49" t="str"/>
      <x:c r="Q8" s="49" t="str">
        <x:v>待填写</x:v>
      </x:c>
      <x:c r="R8" s="49" t="str">
        <x:v>持续供电且不得进入照明总控</x:v>
      </x:c>
    </x:row>
    <x:row r="9" ht="42" customHeight="1">
      <x:c r="A9" s="47" t="str">
        <x:v>APP-008</x:v>
      </x:c>
      <x:c r="B9" s="47" t="str">
        <x:v>冰箱 2</x:v>
      </x:c>
      <x:c r="C9" s="47" t="str">
        <x:v>固定厨房电器</x:v>
      </x:c>
      <x:c r="D9" s="48" t="str">
        <x:v>西厨</x:v>
      </x:c>
      <x:c r="E9" s="48" t="str">
        <x:v>西厨</x:v>
      </x:c>
      <x:c r="F9" s="49" t="str"/>
      <x:c r="G9" s="49" t="str">
        <x:v>西厨</x:v>
      </x:c>
      <x:c r="H9" s="49" t="str">
        <x:v>1</x:v>
      </x:c>
      <x:c r="I9" s="49" t="str"/>
      <x:c r="J9" s="49" t="str">
        <x:v>CONTINUOUS</x:v>
      </x:c>
      <x:c r="K9" s="49" t="str">
        <x:v>no</x:v>
      </x:c>
      <x:c r="L9" s="49" t="str">
        <x:v>no</x:v>
      </x:c>
      <x:c r="M9" s="49" t="str">
        <x:v>no</x:v>
      </x:c>
      <x:c r="N9" s="49" t="str">
        <x:v>yes</x:v>
      </x:c>
      <x:c r="O9" s="49" t="str"/>
      <x:c r="P9" s="49" t="str"/>
      <x:c r="Q9" s="49" t="str">
        <x:v>待填写</x:v>
      </x:c>
      <x:c r="R9" s="49" t="str">
        <x:v>持续供电且不得进入照明总控</x:v>
      </x:c>
    </x:row>
    <x:row r="10" ht="42" customHeight="1">
      <x:c r="A10" s="47" t="str">
        <x:v>APP-009</x:v>
      </x:c>
      <x:c r="B10" s="47" t="str">
        <x:v>岛台洗碗机 1</x:v>
      </x:c>
      <x:c r="C10" s="47" t="str">
        <x:v>固定厨房电器</x:v>
      </x:c>
      <x:c r="D10" s="48" t="str">
        <x:v>西厨岛台</x:v>
      </x:c>
      <x:c r="E10" s="48" t="str">
        <x:v>西厨岛台</x:v>
      </x:c>
      <x:c r="F10" s="49" t="str"/>
      <x:c r="G10" s="49" t="str">
        <x:v>西厨岛台</x:v>
      </x:c>
      <x:c r="H10" s="49" t="str">
        <x:v>1</x:v>
      </x:c>
      <x:c r="I10" s="49" t="n">
        <x:v>2000</x:v>
      </x:c>
      <x:c r="J10" s="49" t="str">
        <x:v>DISHWASHER-A</x:v>
      </x:c>
      <x:c r="K10" s="49" t="str">
        <x:v>yes</x:v>
      </x:c>
      <x:c r="L10" s="49" t="str">
        <x:v>yes</x:v>
      </x:c>
      <x:c r="M10" s="49" t="str">
        <x:v>no</x:v>
      </x:c>
      <x:c r="N10" s="49" t="str">
        <x:v>no</x:v>
      </x:c>
      <x:c r="O10" s="49" t="str">
        <x:v>Siemens SJ85ZX26MC</x:v>
      </x:c>
      <x:c r="P10" s="49" t="str">
        <x:v>【用户选型候选】https://e.tb.cn/h.8TnxVNjugUfIImB?tk=93QITaQnSCj CZ007
【西门子中国】https://www.siemens-home.bsh-group.com/cn/zh/mkt-product/SJ85ZX26MC
【官方规格表】drawings/evidence/APP-009-010-Siemens-SJ85ZX26MC-specsheet.pdf
【官方安装图】drawings/evidence/APP-009-010-Siemens-SJ85ZX26MC-installation-9002067344_A.pdf
【官方说明书】drawings/evidence/APP-009-010-Siemens-SJ85ZX26MC-user-manual-9002057324_C.pdf</x:v>
      </x:c>
      <x:c r="Q10" s="49" t="str">
        <x:v>部分确认</x:v>
      </x:c>
      <x:c r="R10" s="49" t="str">
        <x:v>Google Sheet 已填写选型候选，尚未采购；官方确认 2000 W/220 V，产品 775×598×550 mm，柜孔 H780–835×W600–608×D≥550 mm，G3/4 冷水、Ø38 排水、管线孔≥100×50 mm，门板 W594、厚≤20 mm、重3.5–8.5 kg。仍须分别核对采购/铭牌 E-Nr. 与 FD、门板高度和踢脚开门关系、现场阀门/排水/插座位置及可抽出检修空间；不得把候选型号写成已购产品。</x:v>
      </x:c>
    </x:row>
    <x:row r="11" ht="42" customHeight="1">
      <x:c r="A11" s="47" t="str">
        <x:v>APP-010</x:v>
      </x:c>
      <x:c r="B11" s="47" t="str">
        <x:v>岛台洗碗机 2</x:v>
      </x:c>
      <x:c r="C11" s="47" t="str">
        <x:v>固定厨房电器</x:v>
      </x:c>
      <x:c r="D11" s="48" t="str">
        <x:v>西厨岛台</x:v>
      </x:c>
      <x:c r="E11" s="48" t="str">
        <x:v>西厨岛台</x:v>
      </x:c>
      <x:c r="F11" s="49" t="str"/>
      <x:c r="G11" s="49" t="str">
        <x:v>西厨岛台</x:v>
      </x:c>
      <x:c r="H11" s="49" t="str">
        <x:v>1</x:v>
      </x:c>
      <x:c r="I11" s="49" t="n">
        <x:v>2000</x:v>
      </x:c>
      <x:c r="J11" s="49" t="str">
        <x:v>DISHWASHER-B</x:v>
      </x:c>
      <x:c r="K11" s="49" t="str">
        <x:v>yes</x:v>
      </x:c>
      <x:c r="L11" s="49" t="str">
        <x:v>yes</x:v>
      </x:c>
      <x:c r="M11" s="49" t="str">
        <x:v>no</x:v>
      </x:c>
      <x:c r="N11" s="49" t="str">
        <x:v>no</x:v>
      </x:c>
      <x:c r="O11" s="49" t="str">
        <x:v>Siemens SJ85ZX26MC</x:v>
      </x:c>
      <x:c r="P11" s="49" t="str">
        <x:v>【用户选型候选】https://e.tb.cn/h.8TnxVNjugUfIImB?tk=93QITaQnSCj CZ007
【西门子中国】https://www.siemens-home.bsh-group.com/cn/zh/mkt-product/SJ85ZX26MC
【官方规格表】drawings/evidence/APP-009-010-Siemens-SJ85ZX26MC-specsheet.pdf
【官方安装图】drawings/evidence/APP-009-010-Siemens-SJ85ZX26MC-installation-9002067344_A.pdf
【官方说明书】drawings/evidence/APP-009-010-Siemens-SJ85ZX26MC-user-manual-9002057324_C.pdf</x:v>
      </x:c>
      <x:c r="Q11" s="49" t="str">
        <x:v>部分确认</x:v>
      </x:c>
      <x:c r="R11" s="49" t="str">
        <x:v>Google Sheet 已填写选型候选，尚未采购；官方确认 2000 W/220 V，产品 775×598×550 mm，柜孔 H780–835×W600–608×D≥550 mm，G3/4 冷水、Ø38 排水、管线孔≥100×50 mm，门板 W594、厚≤20 mm、重3.5–8.5 kg。仍须分别核对采购/铭牌 E-Nr. 与 FD、门板高度和踢脚开门关系、现场阀门/排水/插座位置及可抽出检修空间；不得把候选型号写成已购产品。</x:v>
      </x:c>
    </x:row>
    <x:row r="12" ht="42" customHeight="1">
      <x:c r="A12" s="47" t="str">
        <x:v>APP-011</x:v>
      </x:c>
      <x:c r="B12" s="47" t="str">
        <x:v>烤箱</x:v>
      </x:c>
      <x:c r="C12" s="47" t="str">
        <x:v>固定厨房电器</x:v>
      </x:c>
      <x:c r="D12" s="48" t="str">
        <x:v>西厨高柜</x:v>
      </x:c>
      <x:c r="E12" s="48" t="str">
        <x:v>西厨高柜</x:v>
      </x:c>
      <x:c r="F12" s="49" t="str">
        <x:v>西厨高柜</x:v>
      </x:c>
      <x:c r="G12" s="49" t="str">
        <x:v>西厨高柜</x:v>
      </x:c>
      <x:c r="H12" s="49" t="n">
        <x:v>1</x:v>
      </x:c>
      <x:c r="I12" s="49" t="n">
        <x:v>3400</x:v>
      </x:c>
      <x:c r="J12" s="49" t="str">
        <x:v>COOKING-A</x:v>
      </x:c>
      <x:c r="K12" s="49" t="str">
        <x:v>no</x:v>
      </x:c>
      <x:c r="L12" s="49" t="str">
        <x:v>no</x:v>
      </x:c>
      <x:c r="M12" s="49" t="str">
        <x:v>no</x:v>
      </x:c>
      <x:c r="N12" s="49" t="str">
        <x:v>yes</x:v>
      </x:c>
      <x:c r="O12" s="49" t="str">
        <x:v>Siemens HB754G2B1W</x:v>
      </x:c>
      <x:c r="P12" s="49" t="str">
        <x:v>APP-011-PHOTO-001;APP-011-OFFICIAL-001</x:v>
      </x:c>
      <x:c r="Q12" s="49" t="str">
        <x:v>已确认</x:v>
      </x:c>
      <x:c r="R12" s="49" t="str">
        <x:v>已到货（包装照片）；220V/50Hz，最大功率3400W，16A插头；机身595×594×548 mm；柜体开口宽560–568、高585–595、深≥550 mm；进风面积≥200 cm²；电源线约1.2 m。</x:v>
      </x:c>
    </x:row>
    <x:row r="13" ht="42" customHeight="1">
      <x:c r="A13" s="47" t="str">
        <x:v>APP-012</x:v>
      </x:c>
      <x:c r="B13" s="47" t="str">
        <x:v>炉灶</x:v>
      </x:c>
      <x:c r="C13" s="47" t="str">
        <x:v>固定厨房电器</x:v>
      </x:c>
      <x:c r="D13" s="48" t="str">
        <x:v>中厨</x:v>
      </x:c>
      <x:c r="E13" s="48" t="str">
        <x:v>中厨</x:v>
      </x:c>
      <x:c r="F13" s="49" t="str">
        <x:v>中厨</x:v>
      </x:c>
      <x:c r="G13" s="49" t="str">
        <x:v>中厨</x:v>
      </x:c>
      <x:c r="H13" s="49" t="n">
        <x:v>1</x:v>
      </x:c>
      <x:c r="I13" s="49" t="n">
        <x:v>0</x:v>
      </x:c>
      <x:c r="J13" s="49" t="str">
        <x:v>COOKING-B</x:v>
      </x:c>
      <x:c r="K13" s="49" t="str">
        <x:v>no</x:v>
      </x:c>
      <x:c r="L13" s="49" t="str">
        <x:v>no</x:v>
      </x:c>
      <x:c r="M13" s="49" t="str">
        <x:v>yes</x:v>
      </x:c>
      <x:c r="N13" s="49" t="str">
        <x:v>yes</x:v>
      </x:c>
      <x:c r="O13" s="49" t="str">
        <x:v>Siemens ER9EPA33MP/01（JZT-ER9EPA33MP）</x:v>
      </x:c>
      <x:c r="P13" s="49" t="str">
        <x:v>APP-012-PHOTO-001;APP-012-PHOTO-002;APP-012-OFFICIAL-001</x:v>
      </x:c>
      <x:c r="Q13" s="49" t="str">
        <x:v>已确认</x:v>
      </x:c>
      <x:c r="R13" s="49" t="str">
        <x:v>已到货（包装照片）；天然气12T/2.0kPa；额定热负荷左/中/右5.2/2.0/5.2kW；DC1.5V电池点火；外形920×500×150 mm；台面开孔880×455 mm、4×R15；橱柜通风≥100cm²；独立安装下方净空≥100mm（下置电器时隔板至台面≥120mm）；燃气接驳以当地燃气公司要求为准。</x:v>
      </x:c>
    </x:row>
    <x:row r="14" ht="42" customHeight="1">
      <x:c r="A14" s="47" t="str">
        <x:v>APP-013</x:v>
      </x:c>
      <x:c r="B14" s="47" t="str">
        <x:v>油烟机</x:v>
      </x:c>
      <x:c r="C14" s="47" t="str">
        <x:v>固定厨房电器</x:v>
      </x:c>
      <x:c r="D14" s="48" t="str">
        <x:v>中厨</x:v>
      </x:c>
      <x:c r="E14" s="48" t="str">
        <x:v>中厨</x:v>
      </x:c>
      <x:c r="F14" s="49" t="str">
        <x:v>中厨</x:v>
      </x:c>
      <x:c r="G14" s="49" t="str">
        <x:v>中厨</x:v>
      </x:c>
      <x:c r="H14" s="49" t="n">
        <x:v>1</x:v>
      </x:c>
      <x:c r="I14" s="49" t="n">
        <x:v>385</x:v>
      </x:c>
      <x:c r="J14" s="49" t="str">
        <x:v>COOKING-B</x:v>
      </x:c>
      <x:c r="K14" s="49" t="str">
        <x:v>no</x:v>
      </x:c>
      <x:c r="L14" s="49" t="str">
        <x:v>no</x:v>
      </x:c>
      <x:c r="M14" s="49" t="str">
        <x:v>no</x:v>
      </x:c>
      <x:c r="N14" s="49" t="str">
        <x:v>yes</x:v>
      </x:c>
      <x:c r="O14" s="49" t="str">
        <x:v>Siemens LS33R6VB9W/01（CXW-380-LS33R6VB9W）</x:v>
      </x:c>
      <x:c r="P14" s="49" t="str">
        <x:v>APP-013-PHOTO-001;APP-013-PHOTO-002;APP-013-OFFICIAL-001</x:v>
      </x:c>
      <x:c r="Q14" s="49" t="str">
        <x:v>已确认</x:v>
      </x:c>
      <x:c r="R14" s="49" t="str">
        <x:v>已到货（包装照片）；220V/50Hz，额定输入385W；外形895×345×873 mm；烟管及止逆阀内径≥160mm，烟管宜≤3m且1弯；墙洞建议Ø180mm；吊顶圆孔Ø190mm；吊顶内预留电源；检修口建议400×400mm；与燃气灶承锅面净距≥650mm；电源线约1.3m。</x:v>
      </x:c>
    </x:row>
    <x:row r="15" ht="42" customHeight="1">
      <x:c r="A15" s="47" t="str">
        <x:v>APP-014</x:v>
      </x:c>
      <x:c r="B15" s="47" t="str">
        <x:v>直饮机</x:v>
      </x:c>
      <x:c r="C15" s="47" t="str">
        <x:v>水处理设备</x:v>
      </x:c>
      <x:c r="D15" s="48" t="str">
        <x:v>西厨</x:v>
      </x:c>
      <x:c r="E15" s="48" t="str">
        <x:v>西厨使用点</x:v>
      </x:c>
      <x:c r="F15" s="49" t="str"/>
      <x:c r="G15" s="49" t="str">
        <x:v>西厨使用点</x:v>
      </x:c>
      <x:c r="H15" s="49" t="str">
        <x:v>1</x:v>
      </x:c>
      <x:c r="I15" s="49" t="str"/>
      <x:c r="J15" s="49" t="str">
        <x:v>WATER-A</x:v>
      </x:c>
      <x:c r="K15" s="49" t="str">
        <x:v>yes</x:v>
      </x:c>
      <x:c r="L15" s="49" t="str">
        <x:v>model_dependent</x:v>
      </x:c>
      <x:c r="M15" s="49" t="str">
        <x:v>no</x:v>
      </x:c>
      <x:c r="N15" s="49" t="str">
        <x:v>no</x:v>
      </x:c>
      <x:c r="O15" s="49" t="str"/>
      <x:c r="P15" s="49" t="str"/>
      <x:c r="Q15" s="49" t="str">
        <x:v>待填写</x:v>
      </x:c>
      <x:c r="R15" s="49" t="str">
        <x:v>补产品安装图和排水需求</x:v>
      </x:c>
    </x:row>
    <x:row r="16" ht="42" customHeight="1">
      <x:c r="A16" s="47" t="str">
        <x:v>APP-015</x:v>
      </x:c>
      <x:c r="B16" s="47" t="str">
        <x:v>净水器</x:v>
      </x:c>
      <x:c r="C16" s="47" t="str">
        <x:v>水处理设备</x:v>
      </x:c>
      <x:c r="D16" s="48" t="str">
        <x:v>西厨柜内</x:v>
      </x:c>
      <x:c r="E16" s="48" t="str">
        <x:v>西厨柜内接口区</x:v>
      </x:c>
      <x:c r="F16" s="49" t="str"/>
      <x:c r="G16" s="49" t="str">
        <x:v>西厨柜内接口区</x:v>
      </x:c>
      <x:c r="H16" s="49" t="str">
        <x:v>1</x:v>
      </x:c>
      <x:c r="I16" s="49" t="str"/>
      <x:c r="J16" s="49" t="str">
        <x:v>WATER-A</x:v>
      </x:c>
      <x:c r="K16" s="49" t="str">
        <x:v>yes</x:v>
      </x:c>
      <x:c r="L16" s="49" t="str">
        <x:v>model_dependent</x:v>
      </x:c>
      <x:c r="M16" s="49" t="str">
        <x:v>no</x:v>
      </x:c>
      <x:c r="N16" s="49" t="str">
        <x:v>no</x:v>
      </x:c>
      <x:c r="O16" s="49" t="str"/>
      <x:c r="P16" s="49" t="str"/>
      <x:c r="Q16" s="49" t="str">
        <x:v>待填写</x:v>
      </x:c>
      <x:c r="R16" s="49" t="str">
        <x:v>存放位置与龙头使用点分开记录</x:v>
      </x:c>
    </x:row>
    <x:row r="17" ht="42" customHeight="1">
      <x:c r="A17" s="47" t="str">
        <x:v>APP-016</x:v>
      </x:c>
      <x:c r="B17" s="47" t="str">
        <x:v>垃圾处理器</x:v>
      </x:c>
      <x:c r="C17" s="47" t="str">
        <x:v>固定厨房电器</x:v>
      </x:c>
      <x:c r="D17" s="48" t="str">
        <x:v>西厨水槽柜</x:v>
      </x:c>
      <x:c r="E17" s="48" t="str">
        <x:v>西厨水槽柜</x:v>
      </x:c>
      <x:c r="F17" s="49" t="str"/>
      <x:c r="G17" s="49" t="str">
        <x:v>西厨水槽柜</x:v>
      </x:c>
      <x:c r="H17" s="49" t="str">
        <x:v>1</x:v>
      </x:c>
      <x:c r="I17" s="49" t="str"/>
      <x:c r="J17" s="49" t="str">
        <x:v>WATER-A</x:v>
      </x:c>
      <x:c r="K17" s="49" t="str">
        <x:v>no</x:v>
      </x:c>
      <x:c r="L17" s="49" t="str">
        <x:v>yes</x:v>
      </x:c>
      <x:c r="M17" s="49" t="str">
        <x:v>no</x:v>
      </x:c>
      <x:c r="N17" s="49" t="str">
        <x:v>no</x:v>
      </x:c>
      <x:c r="O17" s="49" t="str"/>
      <x:c r="P17" s="49" t="str"/>
      <x:c r="Q17" s="49" t="str">
        <x:v>待填写</x:v>
      </x:c>
      <x:c r="R17" s="49" t="str">
        <x:v>补功率/开关方式/排水连接要求</x:v>
      </x:c>
    </x:row>
    <x:row r="18" ht="42" customHeight="1">
      <x:c r="A18" s="47" t="str">
        <x:v>APP-017</x:v>
      </x:c>
      <x:c r="B18" s="47" t="str">
        <x:v>LG WashTower</x:v>
      </x:c>
      <x:c r="C18" s="47" t="str">
        <x:v>洗衣设备</x:v>
      </x:c>
      <x:c r="D18" s="48" t="str">
        <x:v>中厨</x:v>
      </x:c>
      <x:c r="E18" s="48" t="str">
        <x:v>中厨</x:v>
      </x:c>
      <x:c r="F18" s="49" t="str"/>
      <x:c r="G18" s="49" t="str">
        <x:v>中厨</x:v>
      </x:c>
      <x:c r="H18" s="49" t="str">
        <x:v>1</x:v>
      </x:c>
      <x:c r="I18" s="49" t="str"/>
      <x:c r="J18" s="49" t="str">
        <x:v>LAUNDRY-A</x:v>
      </x:c>
      <x:c r="K18" s="49" t="str">
        <x:v>yes</x:v>
      </x:c>
      <x:c r="L18" s="49" t="str">
        <x:v>yes</x:v>
      </x:c>
      <x:c r="M18" s="49" t="str">
        <x:v>no</x:v>
      </x:c>
      <x:c r="N18" s="49" t="str">
        <x:v>yes</x:v>
      </x:c>
      <x:c r="O18" s="49" t="str"/>
      <x:c r="P18" s="49" t="str">
        <x:v>正式 IFC 的 IfcBuildingElementProxy GlobalId 与既有体量</x:v>
      </x:c>
      <x:c r="Q18" s="49" t="str">
        <x:v>待填写</x:v>
      </x:c>
      <x:c r="R18" s="49" t="str">
        <x:v>正式 IFC 有设备体量；补完整型号与安装图</x:v>
      </x:c>
    </x:row>
    <x:row r="19" ht="42" customHeight="1">
      <x:c r="A19" s="47" t="str">
        <x:v>APP-018</x:v>
      </x:c>
      <x:c r="B19" s="47" t="str">
        <x:v>Huawei 联通智家设备</x:v>
      </x:c>
      <x:c r="C19" s="47" t="str">
        <x:v>网络设备</x:v>
      </x:c>
      <x:c r="D19" s="48" t="str">
        <x:v>玄关弱电箱</x:v>
      </x:c>
      <x:c r="E19" s="48" t="str">
        <x:v>玄关弱电箱</x:v>
      </x:c>
      <x:c r="F19" s="49" t="str"/>
      <x:c r="G19" s="49" t="str">
        <x:v>玄关弱电箱</x:v>
      </x:c>
      <x:c r="H19" s="49" t="str">
        <x:v>1</x:v>
      </x:c>
      <x:c r="I19" s="49" t="str"/>
      <x:c r="J19" s="49" t="str">
        <x:v>CONTINUOUS</x:v>
      </x:c>
      <x:c r="K19" s="49" t="str">
        <x:v>no</x:v>
      </x:c>
      <x:c r="L19" s="49" t="str">
        <x:v>no</x:v>
      </x:c>
      <x:c r="M19" s="49" t="str">
        <x:v>no</x:v>
      </x:c>
      <x:c r="N19" s="49" t="str">
        <x:v>yes</x:v>
      </x:c>
      <x:c r="O19" s="49" t="str"/>
      <x:c r="P19" s="49" t="str"/>
      <x:c r="Q19" s="49" t="str">
        <x:v>部分确认</x:v>
      </x:c>
      <x:c r="R19" s="49" t="str">
        <x:v>实际箱内运行已确认；补底部铭牌与设备功能</x:v>
      </x:c>
    </x:row>
  </x:sheetData>
  <x:conditionalFormatting sqref="Q2:Q19">
    <x:cfRule type="containsText" dxfId="3" priority="1" operator="containsText" text="已确认"/>
    <x:cfRule type="containsText" dxfId="4" priority="2" operator="containsText" text="部分确认"/>
  </x:conditionalFormatting>
  <x:dataValidations count="5">
    <x:dataValidation type="list" sqref="Q2:Q19">
      <x:formula1>"待填写,部分确认,已确认,暂缓,不适用"</x:formula1>
    </x:dataValidation>
    <x:dataValidation type="list" sqref="K2:K19">
      <x:formula1>"yes,no,model_dependent"</x:formula1>
    </x:dataValidation>
    <x:dataValidation type="list" sqref="L2:L19">
      <x:formula1>"yes,no,model_dependent"</x:formula1>
    </x:dataValidation>
    <x:dataValidation type="list" sqref="M2:M19">
      <x:formula1>"yes,no,model_dependent"</x:formula1>
    </x:dataValidation>
    <x:dataValidation type="list" sqref="N2:N19">
      <x:formula1>"yes,no,model_dependent"</x:formula1>
    </x:dataValidation>
  </x:dataValidations>
  <x:pageMargins left="0.7" right="0.7" top="0.75" bottom="0.75" header="0.3" footer="0.3"/>
  <x:tableParts count="1">
    <x:tablePart xmlns:r="http://schemas.openxmlformats.org/officeDocument/2006/relationships" r:id="Rf60ac126ebdf4bd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42" hidden="0" customWidth="1"/>
    <x:col min="24" max="24" width="18" hidden="0" customWidth="1"/>
    <x:col min="25" max="25" width="18" hidden="0" customWidth="1"/>
    <x:col min="26" max="26" width="18" hidden="0" customWidth="1"/>
    <x:col min="27" max="27" width="18" hidden="0" customWidth="1"/>
    <x:col min="28" max="28" width="42" hidden="0" customWidth="1"/>
  </x:cols>
  <x:sheetData>
    <x:row r="1" ht="28" customHeight="1">
      <x:c r="A1" s="100" t="str">
        <x:v>设备、洁具、家具、门窗五金的身份与状态（只读派生）</x:v>
      </x:c>
    </x:row>
    <x:row r="2" ht="32" customHeight="1">
      <x:c r="A2" s="105" t="str">
        <x:v>equipment_id</x:v>
      </x:c>
      <x:c r="B2" s="105" t="str">
        <x:v>domain</x:v>
      </x:c>
      <x:c r="C2" s="105" t="str">
        <x:v>category</x:v>
      </x:c>
      <x:c r="D2" s="105" t="str">
        <x:v>item_name</x:v>
      </x:c>
      <x:c r="E2" s="105" t="str">
        <x:v>manufacturer</x:v>
      </x:c>
      <x:c r="F2" s="105" t="str">
        <x:v>model</x:v>
      </x:c>
      <x:c r="G2" s="105" t="str">
        <x:v>variant</x:v>
      </x:c>
      <x:c r="H2" s="105" t="str">
        <x:v>quantity</x:v>
      </x:c>
      <x:c r="I2" s="105" t="str">
        <x:v>procurement_status</x:v>
      </x:c>
      <x:c r="J2" s="105" t="str">
        <x:v>decision_status</x:v>
      </x:c>
      <x:c r="K2" s="105" t="str">
        <x:v>storage_location_candidate</x:v>
      </x:c>
      <x:c r="L2" s="105" t="str">
        <x:v>use_location_candidate</x:v>
      </x:c>
      <x:c r="M2" s="105" t="str">
        <x:v>storage_location_confirmed</x:v>
      </x:c>
      <x:c r="N2" s="105" t="str">
        <x:v>use_location_confirmed</x:v>
      </x:c>
      <x:c r="O2" s="105" t="str">
        <x:v>schedule_included</x:v>
      </x:c>
      <x:c r="P2" s="105" t="str">
        <x:v>selector_kind</x:v>
      </x:c>
      <x:c r="Q2" s="105" t="str">
        <x:v>selector_value</x:v>
      </x:c>
      <x:c r="R2" s="105" t="str">
        <x:v>ifc_class</x:v>
      </x:c>
      <x:c r="S2" s="105" t="str">
        <x:v>ifc_type_name</x:v>
      </x:c>
      <x:c r="T2" s="105" t="str">
        <x:v>ifc_type_global_id</x:v>
      </x:c>
      <x:c r="U2" s="105" t="str">
        <x:v>ifc_global_ids</x:v>
      </x:c>
      <x:c r="V2" s="105" t="str">
        <x:v>source_ids</x:v>
      </x:c>
      <x:c r="W2" s="105" t="str">
        <x:v>identity_basis</x:v>
      </x:c>
      <x:c r="X2" s="105" t="str">
        <x:v>confidence</x:v>
      </x:c>
      <x:c r="Y2" s="105" t="str">
        <x:v>human_review_required</x:v>
      </x:c>
      <x:c r="Z2" s="105" t="str">
        <x:v>legacy_kind</x:v>
      </x:c>
      <x:c r="AA2" s="105" t="str">
        <x:v>legacy_id</x:v>
      </x:c>
      <x:c r="AB2" s="105" t="str">
        <x:v>notes</x:v>
      </x:c>
    </x:row>
    <x:row r="3" ht="34" customHeight="1">
      <x:c r="A3" s="108" t="str">
        <x:v>APP-001</x:v>
      </x:c>
      <x:c r="B3" s="108" t="str">
        <x:v>APPLIANCE</x:v>
      </x:c>
      <x:c r="C3" s="108" t="str">
        <x:v>移动厨电</x:v>
      </x:c>
      <x:c r="D3" s="108" t="str">
        <x:v>火锅电器</x:v>
      </x:c>
      <x:c r="E3" s="108" t="str"/>
      <x:c r="F3" s="108" t="str"/>
      <x:c r="G3" s="108" t="str"/>
      <x:c r="H3" s="108" t="str">
        <x:v>1</x:v>
      </x:c>
      <x:c r="I3" s="108" t="str">
        <x:v>candidate</x:v>
      </x:c>
      <x:c r="J3" s="108" t="str">
        <x:v>partial</x:v>
      </x:c>
      <x:c r="K3" s="108" t="str">
        <x:v>厨房柜内</x:v>
      </x:c>
      <x:c r="L3" s="108" t="str">
        <x:v>西厨岛台 NS-01</x:v>
      </x:c>
      <x:c r="M3" s="108" t="str"/>
      <x:c r="N3" s="108" t="str">
        <x:v>西厨岛台 NS-01</x:v>
      </x:c>
      <x:c r="O3" s="108" t="str">
        <x:v>yes</x:v>
      </x:c>
      <x:c r="P3" s="108" t="str">
        <x:v>logical_input</x:v>
      </x:c>
      <x:c r="Q3" s="108" t="str">
        <x:v>APP-001</x:v>
      </x:c>
      <x:c r="R3" s="108" t="str"/>
      <x:c r="S3" s="108" t="str"/>
      <x:c r="T3" s="108" t="str"/>
      <x:c r="U3" s="108" t="str"/>
      <x:c r="V3" s="108" t="str"/>
      <x:c r="W3" s="108" t="str"/>
      <x:c r="X3" s="108" t="str">
        <x:v>0.80</x:v>
      </x:c>
      <x:c r="Y3" s="108" t="str">
        <x:v>yes</x:v>
      </x:c>
      <x:c r="Z3" s="108" t="str">
        <x:v>appliance</x:v>
      </x:c>
      <x:c r="AA3" s="108" t="str">
        <x:v>APP-001</x:v>
      </x:c>
      <x:c r="AB3" s="108" t="str">
        <x:v>实际使用位置已由用户说明；补型号与铭牌功率</x:v>
      </x:c>
    </x:row>
    <x:row r="4" ht="34" customHeight="1">
      <x:c r="A4" s="108" t="str">
        <x:v>APP-002</x:v>
      </x:c>
      <x:c r="B4" s="108" t="str">
        <x:v>APPLIANCE</x:v>
      </x:c>
      <x:c r="C4" s="108" t="str">
        <x:v>移动厨电</x:v>
      </x:c>
      <x:c r="D4" s="108" t="str">
        <x:v>搅拌机</x:v>
      </x:c>
      <x:c r="E4" s="108" t="str"/>
      <x:c r="F4" s="108" t="str"/>
      <x:c r="G4" s="108" t="str"/>
      <x:c r="H4" s="108" t="str">
        <x:v>1</x:v>
      </x:c>
      <x:c r="I4" s="108" t="str">
        <x:v>candidate</x:v>
      </x:c>
      <x:c r="J4" s="108" t="str">
        <x:v>partial</x:v>
      </x:c>
      <x:c r="K4" s="108" t="str">
        <x:v>厨房柜内</x:v>
      </x:c>
      <x:c r="L4" s="108" t="str">
        <x:v>西厨岛台 NS-01</x:v>
      </x:c>
      <x:c r="M4" s="108" t="str"/>
      <x:c r="N4" s="108" t="str">
        <x:v>西厨岛台 NS-01</x:v>
      </x:c>
      <x:c r="O4" s="108" t="str">
        <x:v>yes</x:v>
      </x:c>
      <x:c r="P4" s="108" t="str">
        <x:v>logical_input</x:v>
      </x:c>
      <x:c r="Q4" s="108" t="str">
        <x:v>APP-002</x:v>
      </x:c>
      <x:c r="R4" s="108" t="str"/>
      <x:c r="S4" s="108" t="str"/>
      <x:c r="T4" s="108" t="str"/>
      <x:c r="U4" s="108" t="str"/>
      <x:c r="V4" s="108" t="str"/>
      <x:c r="W4" s="108" t="str"/>
      <x:c r="X4" s="108" t="str">
        <x:v>0.80</x:v>
      </x:c>
      <x:c r="Y4" s="108" t="str">
        <x:v>yes</x:v>
      </x:c>
      <x:c r="Z4" s="108" t="str">
        <x:v>appliance</x:v>
      </x:c>
      <x:c r="AA4" s="108" t="str">
        <x:v>APP-002</x:v>
      </x:c>
      <x:c r="AB4" s="108" t="str">
        <x:v>用户已确认可与火锅同时使用；仍缺型号与铭牌功率</x:v>
      </x:c>
    </x:row>
    <x:row r="5" ht="34" customHeight="1">
      <x:c r="A5" s="108" t="str">
        <x:v>APP-003</x:v>
      </x:c>
      <x:c r="B5" s="108" t="str">
        <x:v>APPLIANCE</x:v>
      </x:c>
      <x:c r="C5" s="108" t="str">
        <x:v>移动厨电</x:v>
      </x:c>
      <x:c r="D5" s="108" t="str">
        <x:v>Sous-vide 棒</x:v>
      </x:c>
      <x:c r="E5" s="108" t="str"/>
      <x:c r="F5" s="108" t="str"/>
      <x:c r="G5" s="108" t="str"/>
      <x:c r="H5" s="108" t="str">
        <x:v>1</x:v>
      </x:c>
      <x:c r="I5" s="108" t="str">
        <x:v>candidate</x:v>
      </x:c>
      <x:c r="J5" s="108" t="str">
        <x:v>partial</x:v>
      </x:c>
      <x:c r="K5" s="108" t="str">
        <x:v>厨房柜内</x:v>
      </x:c>
      <x:c r="L5" s="108" t="str">
        <x:v>西厨岛台 NS-01</x:v>
      </x:c>
      <x:c r="M5" s="108" t="str"/>
      <x:c r="N5" s="108" t="str">
        <x:v>西厨岛台 NS-01</x:v>
      </x:c>
      <x:c r="O5" s="108" t="str">
        <x:v>yes</x:v>
      </x:c>
      <x:c r="P5" s="108" t="str">
        <x:v>logical_input</x:v>
      </x:c>
      <x:c r="Q5" s="108" t="str">
        <x:v>APP-003</x:v>
      </x:c>
      <x:c r="R5" s="108" t="str"/>
      <x:c r="S5" s="108" t="str"/>
      <x:c r="T5" s="108" t="str"/>
      <x:c r="U5" s="108" t="str"/>
      <x:c r="V5" s="108" t="str"/>
      <x:c r="W5" s="108" t="str"/>
      <x:c r="X5" s="108" t="str">
        <x:v>0.80</x:v>
      </x:c>
      <x:c r="Y5" s="108" t="str">
        <x:v>yes</x:v>
      </x:c>
      <x:c r="Z5" s="108" t="str">
        <x:v>appliance</x:v>
      </x:c>
      <x:c r="AA5" s="108" t="str">
        <x:v>APP-003</x:v>
      </x:c>
      <x:c r="AB5" s="108" t="str">
        <x:v>长时间运行需确认容器和插座位置</x:v>
      </x:c>
    </x:row>
    <x:row r="6" ht="34" customHeight="1">
      <x:c r="A6" s="108" t="str">
        <x:v>APP-004</x:v>
      </x:c>
      <x:c r="B6" s="108" t="str">
        <x:v>APPLIANCE</x:v>
      </x:c>
      <x:c r="C6" s="108" t="str">
        <x:v>咖啡设备</x:v>
      </x:c>
      <x:c r="D6" s="108" t="str">
        <x:v>咖啡机</x:v>
      </x:c>
      <x:c r="E6" s="108" t="str"/>
      <x:c r="F6" s="108" t="str"/>
      <x:c r="G6" s="108" t="str"/>
      <x:c r="H6" s="108" t="str">
        <x:v>1</x:v>
      </x:c>
      <x:c r="I6" s="108" t="str">
        <x:v>candidate</x:v>
      </x:c>
      <x:c r="J6" s="108" t="str">
        <x:v>partial</x:v>
      </x:c>
      <x:c r="K6" s="108" t="str">
        <x:v>餐边柜</x:v>
      </x:c>
      <x:c r="L6" s="108" t="str">
        <x:v>餐边柜 NS-02</x:v>
      </x:c>
      <x:c r="M6" s="108" t="str"/>
      <x:c r="N6" s="108" t="str">
        <x:v>餐边柜 NS-02</x:v>
      </x:c>
      <x:c r="O6" s="108" t="str">
        <x:v>yes</x:v>
      </x:c>
      <x:c r="P6" s="108" t="str">
        <x:v>logical_input</x:v>
      </x:c>
      <x:c r="Q6" s="108" t="str">
        <x:v>APP-004</x:v>
      </x:c>
      <x:c r="R6" s="108" t="str"/>
      <x:c r="S6" s="108" t="str"/>
      <x:c r="T6" s="108" t="str"/>
      <x:c r="U6" s="108" t="str"/>
      <x:c r="V6" s="108" t="str"/>
      <x:c r="W6" s="108" t="str"/>
      <x:c r="X6" s="108" t="str">
        <x:v>0.80</x:v>
      </x:c>
      <x:c r="Y6" s="108" t="str">
        <x:v>yes</x:v>
      </x:c>
      <x:c r="Z6" s="108" t="str">
        <x:v>appliance</x:v>
      </x:c>
      <x:c r="AA6" s="108" t="str">
        <x:v>APP-004</x:v>
      </x:c>
      <x:c r="AB6" s="108" t="str">
        <x:v>实际使用位置已由用户说明</x:v>
      </x:c>
    </x:row>
    <x:row r="7" ht="34" customHeight="1">
      <x:c r="A7" s="108" t="str">
        <x:v>APP-005</x:v>
      </x:c>
      <x:c r="B7" s="108" t="str">
        <x:v>APPLIANCE</x:v>
      </x:c>
      <x:c r="C7" s="108" t="str">
        <x:v>咖啡设备</x:v>
      </x:c>
      <x:c r="D7" s="108" t="str">
        <x:v>手冲电热水壶</x:v>
      </x:c>
      <x:c r="E7" s="108" t="str"/>
      <x:c r="F7" s="108" t="str"/>
      <x:c r="G7" s="108" t="str"/>
      <x:c r="H7" s="108" t="str">
        <x:v>1</x:v>
      </x:c>
      <x:c r="I7" s="108" t="str">
        <x:v>candidate</x:v>
      </x:c>
      <x:c r="J7" s="108" t="str">
        <x:v>partial</x:v>
      </x:c>
      <x:c r="K7" s="108" t="str">
        <x:v>餐边柜</x:v>
      </x:c>
      <x:c r="L7" s="108" t="str">
        <x:v>餐边柜 NS-02</x:v>
      </x:c>
      <x:c r="M7" s="108" t="str"/>
      <x:c r="N7" s="108" t="str">
        <x:v>餐边柜 NS-02</x:v>
      </x:c>
      <x:c r="O7" s="108" t="str">
        <x:v>yes</x:v>
      </x:c>
      <x:c r="P7" s="108" t="str">
        <x:v>logical_input</x:v>
      </x:c>
      <x:c r="Q7" s="108" t="str">
        <x:v>APP-005</x:v>
      </x:c>
      <x:c r="R7" s="108" t="str"/>
      <x:c r="S7" s="108" t="str"/>
      <x:c r="T7" s="108" t="str"/>
      <x:c r="U7" s="108" t="str"/>
      <x:c r="V7" s="108" t="str"/>
      <x:c r="W7" s="108" t="str"/>
      <x:c r="X7" s="108" t="str">
        <x:v>0.80</x:v>
      </x:c>
      <x:c r="Y7" s="108" t="str">
        <x:v>yes</x:v>
      </x:c>
      <x:c r="Z7" s="108" t="str">
        <x:v>appliance</x:v>
      </x:c>
      <x:c r="AA7" s="108" t="str">
        <x:v>APP-005</x:v>
      </x:c>
      <x:c r="AB7" s="108" t="str">
        <x:v>用户已确认不与咖啡机同时使用；仍缺最终型号与铭牌功率</x:v>
      </x:c>
    </x:row>
    <x:row r="8" ht="34" customHeight="1">
      <x:c r="A8" s="108" t="str">
        <x:v>APP-006</x:v>
      </x:c>
      <x:c r="B8" s="108" t="str">
        <x:v>APPLIANCE</x:v>
      </x:c>
      <x:c r="C8" s="108" t="str">
        <x:v>咖啡设备</x:v>
      </x:c>
      <x:c r="D8" s="108" t="str">
        <x:v>磨豆机</x:v>
      </x:c>
      <x:c r="E8" s="108" t="str"/>
      <x:c r="F8" s="108" t="str"/>
      <x:c r="G8" s="108" t="str"/>
      <x:c r="H8" s="108" t="str">
        <x:v>1</x:v>
      </x:c>
      <x:c r="I8" s="108" t="str">
        <x:v>candidate</x:v>
      </x:c>
      <x:c r="J8" s="108" t="str">
        <x:v>partial</x:v>
      </x:c>
      <x:c r="K8" s="108" t="str">
        <x:v>餐边柜</x:v>
      </x:c>
      <x:c r="L8" s="108" t="str">
        <x:v>餐边柜 NS-02</x:v>
      </x:c>
      <x:c r="M8" s="108" t="str"/>
      <x:c r="N8" s="108" t="str">
        <x:v>餐边柜 NS-02</x:v>
      </x:c>
      <x:c r="O8" s="108" t="str">
        <x:v>yes</x:v>
      </x:c>
      <x:c r="P8" s="108" t="str">
        <x:v>logical_input</x:v>
      </x:c>
      <x:c r="Q8" s="108" t="str">
        <x:v>APP-006</x:v>
      </x:c>
      <x:c r="R8" s="108" t="str"/>
      <x:c r="S8" s="108" t="str"/>
      <x:c r="T8" s="108" t="str"/>
      <x:c r="U8" s="108" t="str"/>
      <x:c r="V8" s="108" t="str"/>
      <x:c r="W8" s="108" t="str"/>
      <x:c r="X8" s="108" t="str">
        <x:v>0.80</x:v>
      </x:c>
      <x:c r="Y8" s="108" t="str">
        <x:v>yes</x:v>
      </x:c>
      <x:c r="Z8" s="108" t="str">
        <x:v>appliance</x:v>
      </x:c>
      <x:c r="AA8" s="108" t="str">
        <x:v>APP-006</x:v>
      </x:c>
      <x:c r="AB8" s="108" t="str">
        <x:v>补型号与铭牌功率</x:v>
      </x:c>
    </x:row>
    <x:row r="9" ht="34" customHeight="1">
      <x:c r="A9" s="108" t="str">
        <x:v>APP-007</x:v>
      </x:c>
      <x:c r="B9" s="108" t="str">
        <x:v>APPLIANCE</x:v>
      </x:c>
      <x:c r="C9" s="108" t="str">
        <x:v>固定厨房电器</x:v>
      </x:c>
      <x:c r="D9" s="108" t="str">
        <x:v>冰箱 1</x:v>
      </x:c>
      <x:c r="E9" s="108" t="str"/>
      <x:c r="F9" s="108" t="str"/>
      <x:c r="G9" s="108" t="str"/>
      <x:c r="H9" s="108" t="str">
        <x:v>1</x:v>
      </x:c>
      <x:c r="I9" s="108" t="str">
        <x:v>not_selected</x:v>
      </x:c>
      <x:c r="J9" s="108" t="str">
        <x:v>pending</x:v>
      </x:c>
      <x:c r="K9" s="108" t="str">
        <x:v>西厨</x:v>
      </x:c>
      <x:c r="L9" s="108" t="str">
        <x:v>西厨</x:v>
      </x:c>
      <x:c r="M9" s="108" t="str"/>
      <x:c r="N9" s="108" t="str">
        <x:v>西厨</x:v>
      </x:c>
      <x:c r="O9" s="108" t="str">
        <x:v>yes</x:v>
      </x:c>
      <x:c r="P9" s="108" t="str">
        <x:v>logical_input</x:v>
      </x:c>
      <x:c r="Q9" s="108" t="str">
        <x:v>APP-007</x:v>
      </x:c>
      <x:c r="R9" s="108" t="str"/>
      <x:c r="S9" s="108" t="str"/>
      <x:c r="T9" s="108" t="str"/>
      <x:c r="U9" s="108" t="str"/>
      <x:c r="V9" s="108" t="str"/>
      <x:c r="W9" s="108" t="str"/>
      <x:c r="X9" s="108" t="str">
        <x:v>0.80</x:v>
      </x:c>
      <x:c r="Y9" s="108" t="str">
        <x:v>yes</x:v>
      </x:c>
      <x:c r="Z9" s="108" t="str">
        <x:v>appliance</x:v>
      </x:c>
      <x:c r="AA9" s="108" t="str">
        <x:v>APP-007</x:v>
      </x:c>
      <x:c r="AB9" s="108" t="str">
        <x:v>持续供电且不得进入照明总控</x:v>
      </x:c>
    </x:row>
    <x:row r="10" ht="34" customHeight="1">
      <x:c r="A10" s="108" t="str">
        <x:v>APP-008</x:v>
      </x:c>
      <x:c r="B10" s="108" t="str">
        <x:v>APPLIANCE</x:v>
      </x:c>
      <x:c r="C10" s="108" t="str">
        <x:v>固定厨房电器</x:v>
      </x:c>
      <x:c r="D10" s="108" t="str">
        <x:v>冰箱 2</x:v>
      </x:c>
      <x:c r="E10" s="108" t="str"/>
      <x:c r="F10" s="108" t="str"/>
      <x:c r="G10" s="108" t="str"/>
      <x:c r="H10" s="108" t="str">
        <x:v>1</x:v>
      </x:c>
      <x:c r="I10" s="108" t="str">
        <x:v>not_selected</x:v>
      </x:c>
      <x:c r="J10" s="108" t="str">
        <x:v>pending</x:v>
      </x:c>
      <x:c r="K10" s="108" t="str">
        <x:v>西厨</x:v>
      </x:c>
      <x:c r="L10" s="108" t="str">
        <x:v>西厨</x:v>
      </x:c>
      <x:c r="M10" s="108" t="str"/>
      <x:c r="N10" s="108" t="str">
        <x:v>西厨</x:v>
      </x:c>
      <x:c r="O10" s="108" t="str">
        <x:v>yes</x:v>
      </x:c>
      <x:c r="P10" s="108" t="str">
        <x:v>logical_input</x:v>
      </x:c>
      <x:c r="Q10" s="108" t="str">
        <x:v>APP-008</x:v>
      </x:c>
      <x:c r="R10" s="108" t="str"/>
      <x:c r="S10" s="108" t="str"/>
      <x:c r="T10" s="108" t="str"/>
      <x:c r="U10" s="108" t="str"/>
      <x:c r="V10" s="108" t="str"/>
      <x:c r="W10" s="108" t="str"/>
      <x:c r="X10" s="108" t="str">
        <x:v>0.80</x:v>
      </x:c>
      <x:c r="Y10" s="108" t="str">
        <x:v>yes</x:v>
      </x:c>
      <x:c r="Z10" s="108" t="str">
        <x:v>appliance</x:v>
      </x:c>
      <x:c r="AA10" s="108" t="str">
        <x:v>APP-008</x:v>
      </x:c>
      <x:c r="AB10" s="108" t="str">
        <x:v>持续供电且不得进入照明总控</x:v>
      </x:c>
    </x:row>
    <x:row r="11" ht="34" customHeight="1">
      <x:c r="A11" s="108" t="str">
        <x:v>APP-009</x:v>
      </x:c>
      <x:c r="B11" s="108" t="str">
        <x:v>APPLIANCE</x:v>
      </x:c>
      <x:c r="C11" s="108" t="str">
        <x:v>固定厨房电器</x:v>
      </x:c>
      <x:c r="D11" s="108" t="str">
        <x:v>岛台洗碗机 1</x:v>
      </x:c>
      <x:c r="E11" s="108" t="str">
        <x:v>Siemens</x:v>
      </x:c>
      <x:c r="F11" s="108" t="str">
        <x:v>Siemens SJ85ZX26MC</x:v>
      </x:c>
      <x:c r="G11" s="108" t="str"/>
      <x:c r="H11" s="108" t="str">
        <x:v>1</x:v>
      </x:c>
      <x:c r="I11" s="108" t="str">
        <x:v>candidate</x:v>
      </x:c>
      <x:c r="J11" s="108" t="str">
        <x:v>partial</x:v>
      </x:c>
      <x:c r="K11" s="108" t="str">
        <x:v>西厨岛台</x:v>
      </x:c>
      <x:c r="L11" s="108" t="str">
        <x:v>西厨岛台</x:v>
      </x:c>
      <x:c r="M11" s="108" t="str"/>
      <x:c r="N11" s="108" t="str">
        <x:v>西厨岛台</x:v>
      </x:c>
      <x:c r="O11" s="108" t="str">
        <x:v>yes</x:v>
      </x:c>
      <x:c r="P11" s="108" t="str">
        <x:v>logical_input</x:v>
      </x:c>
      <x:c r="Q11" s="108" t="str">
        <x:v>APP-009</x:v>
      </x:c>
      <x:c r="R11" s="108" t="str"/>
      <x:c r="S11" s="108" t="str"/>
      <x:c r="T11" s="108" t="str"/>
      <x:c r="U11" s="108" t="str"/>
      <x:c r="V11" s="108" t="str">
        <x:v>APP-DW-SPEC-001;APP-DW-INSTALL-001;APP-DW-MANUAL-001</x:v>
      </x:c>
      <x:c r="W11" s="108" t="str">
        <x:v>【用户选型候选】https://e.tb.cn/h.8TnxVNjugUfIImB?tk=93QITaQnSCj CZ007
【西门子中国】https://www.siemens-home.bsh-group.com/cn/zh/mkt-product/SJ85ZX26MC
【官方规格表】drawings/evidence/APP-009-010-Siemens-SJ85ZX26MC-specsheet.pdf
【官方安装图】drawings/evidence/APP-009-010-Siemens-SJ85ZX26MC-installation-9002067344_A.pdf
【官方说明书】drawings/evidence/APP-009-010-Siemens-SJ85ZX26MC-user-manual-9002057324_C.pdf</x:v>
      </x:c>
      <x:c r="X11" s="108" t="str">
        <x:v>0.80</x:v>
      </x:c>
      <x:c r="Y11" s="108" t="str">
        <x:v>yes</x:v>
      </x:c>
      <x:c r="Z11" s="108" t="str">
        <x:v>appliance</x:v>
      </x:c>
      <x:c r="AA11" s="108" t="str">
        <x:v>APP-009</x:v>
      </x:c>
      <x:c r="AB11" s="108" t="str">
        <x:v>Google Sheet 已填写选型候选，尚未采购；官方确认 2000 W/220 V，产品 775×598×550 mm，柜孔 H780–835×W600–608×D≥550 mm，G3/4 冷水、Ø38 排水、管线孔≥100×50 mm，门板 W594、厚≤20 mm、重3.5–8.5 kg。仍须分别核对采购/铭牌 E-Nr. 与 FD、门板高度和踢脚开门关系、现场阀门/排水/插座位置及可抽出检修空间；不得把候选型号写成已购产品。</x:v>
      </x:c>
    </x:row>
    <x:row r="12" ht="34" customHeight="1">
      <x:c r="A12" s="108" t="str">
        <x:v>APP-010</x:v>
      </x:c>
      <x:c r="B12" s="108" t="str">
        <x:v>APPLIANCE</x:v>
      </x:c>
      <x:c r="C12" s="108" t="str">
        <x:v>固定厨房电器</x:v>
      </x:c>
      <x:c r="D12" s="108" t="str">
        <x:v>岛台洗碗机 2</x:v>
      </x:c>
      <x:c r="E12" s="108" t="str">
        <x:v>Siemens</x:v>
      </x:c>
      <x:c r="F12" s="108" t="str">
        <x:v>Siemens SJ85ZX26MC</x:v>
      </x:c>
      <x:c r="G12" s="108" t="str"/>
      <x:c r="H12" s="108" t="str">
        <x:v>1</x:v>
      </x:c>
      <x:c r="I12" s="108" t="str">
        <x:v>candidate</x:v>
      </x:c>
      <x:c r="J12" s="108" t="str">
        <x:v>partial</x:v>
      </x:c>
      <x:c r="K12" s="108" t="str">
        <x:v>西厨岛台</x:v>
      </x:c>
      <x:c r="L12" s="108" t="str">
        <x:v>西厨岛台</x:v>
      </x:c>
      <x:c r="M12" s="108" t="str"/>
      <x:c r="N12" s="108" t="str">
        <x:v>西厨岛台</x:v>
      </x:c>
      <x:c r="O12" s="108" t="str">
        <x:v>yes</x:v>
      </x:c>
      <x:c r="P12" s="108" t="str">
        <x:v>logical_input</x:v>
      </x:c>
      <x:c r="Q12" s="108" t="str">
        <x:v>APP-010</x:v>
      </x:c>
      <x:c r="R12" s="108" t="str"/>
      <x:c r="S12" s="108" t="str"/>
      <x:c r="T12" s="108" t="str"/>
      <x:c r="U12" s="108" t="str"/>
      <x:c r="V12" s="108" t="str">
        <x:v>APP-DW-SPEC-001;APP-DW-INSTALL-001;APP-DW-MANUAL-001</x:v>
      </x:c>
      <x:c r="W12" s="108" t="str">
        <x:v>【用户选型候选】https://e.tb.cn/h.8TnxVNjugUfIImB?tk=93QITaQnSCj CZ007
【西门子中国】https://www.siemens-home.bsh-group.com/cn/zh/mkt-product/SJ85ZX26MC
【官方规格表】drawings/evidence/APP-009-010-Siemens-SJ85ZX26MC-specsheet.pdf
【官方安装图】drawings/evidence/APP-009-010-Siemens-SJ85ZX26MC-installation-9002067344_A.pdf
【官方说明书】drawings/evidence/APP-009-010-Siemens-SJ85ZX26MC-user-manual-9002057324_C.pdf</x:v>
      </x:c>
      <x:c r="X12" s="108" t="str">
        <x:v>0.80</x:v>
      </x:c>
      <x:c r="Y12" s="108" t="str">
        <x:v>yes</x:v>
      </x:c>
      <x:c r="Z12" s="108" t="str">
        <x:v>appliance</x:v>
      </x:c>
      <x:c r="AA12" s="108" t="str">
        <x:v>APP-010</x:v>
      </x:c>
      <x:c r="AB12" s="108" t="str">
        <x:v>Google Sheet 已填写选型候选，尚未采购；官方确认 2000 W/220 V，产品 775×598×550 mm，柜孔 H780–835×W600–608×D≥550 mm，G3/4 冷水、Ø38 排水、管线孔≥100×50 mm，门板 W594、厚≤20 mm、重3.5–8.5 kg。仍须分别核对采购/铭牌 E-Nr. 与 FD、门板高度和踢脚开门关系、现场阀门/排水/插座位置及可抽出检修空间；不得把候选型号写成已购产品。</x:v>
      </x:c>
    </x:row>
    <x:row r="13" ht="34" customHeight="1">
      <x:c r="A13" s="108" t="str">
        <x:v>APP-011</x:v>
      </x:c>
      <x:c r="B13" s="108" t="str">
        <x:v>APPLIANCE</x:v>
      </x:c>
      <x:c r="C13" s="108" t="str">
        <x:v>固定厨房电器</x:v>
      </x:c>
      <x:c r="D13" s="108" t="str">
        <x:v>烤箱</x:v>
      </x:c>
      <x:c r="E13" s="108" t="str">
        <x:v>Siemens</x:v>
      </x:c>
      <x:c r="F13" s="108" t="str">
        <x:v>Siemens HB754G2B1W</x:v>
      </x:c>
      <x:c r="G13" s="108" t="str"/>
      <x:c r="H13" s="108" t="str">
        <x:v>1</x:v>
      </x:c>
      <x:c r="I13" s="108" t="str">
        <x:v>purchased_arrived</x:v>
      </x:c>
      <x:c r="J13" s="108" t="str">
        <x:v>confirmed</x:v>
      </x:c>
      <x:c r="K13" s="108" t="str">
        <x:v>西厨高柜</x:v>
      </x:c>
      <x:c r="L13" s="108" t="str">
        <x:v>西厨高柜</x:v>
      </x:c>
      <x:c r="M13" s="108" t="str">
        <x:v>西厨高柜</x:v>
      </x:c>
      <x:c r="N13" s="108" t="str">
        <x:v>西厨高柜</x:v>
      </x:c>
      <x:c r="O13" s="108" t="str">
        <x:v>yes</x:v>
      </x:c>
      <x:c r="P13" s="108" t="str">
        <x:v>logical_input</x:v>
      </x:c>
      <x:c r="Q13" s="108" t="str">
        <x:v>APP-011</x:v>
      </x:c>
      <x:c r="R13" s="108" t="str">
        <x:v>IfcElectricAppliance</x:v>
      </x:c>
      <x:c r="S13" s="108" t="str"/>
      <x:c r="T13" s="108" t="str"/>
      <x:c r="U13" s="108" t="str">
        <x:v>3PQOXKxgj6IftqWXFXMQXG</x:v>
      </x:c>
      <x:c r="V13" s="108" t="str">
        <x:v>APP-011-PHOTO-001;APP-011-OFFICIAL-001</x:v>
      </x:c>
      <x:c r="W13" s="108" t="str">
        <x:v>APP-011-PHOTO-001;APP-011-OFFICIAL-001</x:v>
      </x:c>
      <x:c r="X13" s="108" t="str">
        <x:v>1.00</x:v>
      </x:c>
      <x:c r="Y13" s="108" t="str">
        <x:v>no</x:v>
      </x:c>
      <x:c r="Z13" s="108" t="str">
        <x:v>appliance</x:v>
      </x:c>
      <x:c r="AA13" s="108" t="str">
        <x:v>APP-011</x:v>
      </x:c>
      <x:c r="AB13" s="108" t="str">
        <x:v>已到货（包装照片）；220V/50Hz，最大功率3400W，16A插头；机身595×594×548 mm；柜体开口宽560–568、高585–595、深≥550 mm；进风面积≥200 cm²；电源线约1.2 m。</x:v>
      </x:c>
    </x:row>
    <x:row r="14" ht="34" customHeight="1">
      <x:c r="A14" s="108" t="str">
        <x:v>APP-012</x:v>
      </x:c>
      <x:c r="B14" s="108" t="str">
        <x:v>APPLIANCE</x:v>
      </x:c>
      <x:c r="C14" s="108" t="str">
        <x:v>固定厨房电器</x:v>
      </x:c>
      <x:c r="D14" s="108" t="str">
        <x:v>炉灶</x:v>
      </x:c>
      <x:c r="E14" s="108" t="str">
        <x:v>Siemens</x:v>
      </x:c>
      <x:c r="F14" s="108" t="str">
        <x:v>Siemens ER9EPA33MP/01（JZT-ER9EPA33MP）</x:v>
      </x:c>
      <x:c r="G14" s="108" t="str"/>
      <x:c r="H14" s="108" t="str">
        <x:v>1</x:v>
      </x:c>
      <x:c r="I14" s="108" t="str">
        <x:v>purchased_arrived</x:v>
      </x:c>
      <x:c r="J14" s="108" t="str">
        <x:v>confirmed</x:v>
      </x:c>
      <x:c r="K14" s="108" t="str">
        <x:v>中厨</x:v>
      </x:c>
      <x:c r="L14" s="108" t="str">
        <x:v>中厨</x:v>
      </x:c>
      <x:c r="M14" s="108" t="str">
        <x:v>中厨</x:v>
      </x:c>
      <x:c r="N14" s="108" t="str">
        <x:v>中厨</x:v>
      </x:c>
      <x:c r="O14" s="108" t="str">
        <x:v>yes</x:v>
      </x:c>
      <x:c r="P14" s="108" t="str">
        <x:v>logical_input</x:v>
      </x:c>
      <x:c r="Q14" s="108" t="str">
        <x:v>APP-012</x:v>
      </x:c>
      <x:c r="R14" s="108" t="str"/>
      <x:c r="S14" s="108" t="str"/>
      <x:c r="T14" s="108" t="str"/>
      <x:c r="U14" s="108" t="str"/>
      <x:c r="V14" s="108" t="str">
        <x:v>APP-012-PHOTO-001;APP-012-PHOTO-002;APP-012-OFFICIAL-001</x:v>
      </x:c>
      <x:c r="W14" s="108" t="str">
        <x:v>APP-012-PHOTO-001;APP-012-PHOTO-002;APP-012-OFFICIAL-001</x:v>
      </x:c>
      <x:c r="X14" s="108" t="str">
        <x:v>1.00</x:v>
      </x:c>
      <x:c r="Y14" s="108" t="str">
        <x:v>no</x:v>
      </x:c>
      <x:c r="Z14" s="108" t="str">
        <x:v>appliance</x:v>
      </x:c>
      <x:c r="AA14" s="108" t="str">
        <x:v>APP-012</x:v>
      </x:c>
      <x:c r="AB14" s="108" t="str">
        <x:v>已到货（包装照片）；天然气12T/2.0kPa；额定热负荷左/中/右5.2/2.0/5.2kW；DC1.5V电池点火；外形920×500×150 mm；台面开孔880×455 mm、4×R15；橱柜通风≥100cm²；独立安装下方净空≥100mm（下置电器时隔板至台面≥120mm）；燃气接驳以当地燃气公司要求为准。</x:v>
      </x:c>
    </x:row>
    <x:row r="15" ht="34" customHeight="1">
      <x:c r="A15" s="108" t="str">
        <x:v>APP-013</x:v>
      </x:c>
      <x:c r="B15" s="108" t="str">
        <x:v>APPLIANCE</x:v>
      </x:c>
      <x:c r="C15" s="108" t="str">
        <x:v>固定厨房电器</x:v>
      </x:c>
      <x:c r="D15" s="108" t="str">
        <x:v>油烟机</x:v>
      </x:c>
      <x:c r="E15" s="108" t="str">
        <x:v>Siemens</x:v>
      </x:c>
      <x:c r="F15" s="108" t="str">
        <x:v>Siemens LS33R6VB9W/01（CXW-380-LS33R6VB9W）</x:v>
      </x:c>
      <x:c r="G15" s="108" t="str"/>
      <x:c r="H15" s="108" t="str">
        <x:v>1</x:v>
      </x:c>
      <x:c r="I15" s="108" t="str">
        <x:v>purchased_arrived</x:v>
      </x:c>
      <x:c r="J15" s="108" t="str">
        <x:v>confirmed</x:v>
      </x:c>
      <x:c r="K15" s="108" t="str">
        <x:v>中厨</x:v>
      </x:c>
      <x:c r="L15" s="108" t="str">
        <x:v>中厨</x:v>
      </x:c>
      <x:c r="M15" s="108" t="str">
        <x:v>中厨</x:v>
      </x:c>
      <x:c r="N15" s="108" t="str">
        <x:v>中厨</x:v>
      </x:c>
      <x:c r="O15" s="108" t="str">
        <x:v>yes</x:v>
      </x:c>
      <x:c r="P15" s="108" t="str">
        <x:v>logical_input</x:v>
      </x:c>
      <x:c r="Q15" s="108" t="str">
        <x:v>APP-013</x:v>
      </x:c>
      <x:c r="R15" s="108" t="str">
        <x:v>IfcElectricAppliance</x:v>
      </x:c>
      <x:c r="S15" s="108" t="str"/>
      <x:c r="T15" s="108" t="str"/>
      <x:c r="U15" s="108" t="str">
        <x:v>288GLY62v8kPPydA1lAK8W</x:v>
      </x:c>
      <x:c r="V15" s="108" t="str">
        <x:v>APP-013-PHOTO-001;APP-013-PHOTO-002;APP-013-OFFICIAL-001</x:v>
      </x:c>
      <x:c r="W15" s="108" t="str">
        <x:v>APP-013-PHOTO-001;APP-013-PHOTO-002;APP-013-OFFICIAL-001</x:v>
      </x:c>
      <x:c r="X15" s="108" t="str">
        <x:v>1.00</x:v>
      </x:c>
      <x:c r="Y15" s="108" t="str">
        <x:v>no</x:v>
      </x:c>
      <x:c r="Z15" s="108" t="str">
        <x:v>appliance</x:v>
      </x:c>
      <x:c r="AA15" s="108" t="str">
        <x:v>APP-013</x:v>
      </x:c>
      <x:c r="AB15" s="108" t="str">
        <x:v>已到货（包装照片）；220V/50Hz，额定输入385W；外形895×345×873 mm；烟管及止逆阀内径≥160mm，烟管宜≤3m且1弯；墙洞建议Ø180mm；吊顶圆孔Ø190mm；吊顶内预留电源；检修口建议400×400mm；与燃气灶承锅面净距≥650mm；电源线约1.3m。</x:v>
      </x:c>
    </x:row>
    <x:row r="16" ht="34" customHeight="1">
      <x:c r="A16" s="108" t="str">
        <x:v>APP-014</x:v>
      </x:c>
      <x:c r="B16" s="108" t="str">
        <x:v>APPLIANCE</x:v>
      </x:c>
      <x:c r="C16" s="108" t="str">
        <x:v>水处理设备</x:v>
      </x:c>
      <x:c r="D16" s="108" t="str">
        <x:v>直饮机</x:v>
      </x:c>
      <x:c r="E16" s="108" t="str"/>
      <x:c r="F16" s="108" t="str"/>
      <x:c r="G16" s="108" t="str"/>
      <x:c r="H16" s="108" t="str">
        <x:v>1</x:v>
      </x:c>
      <x:c r="I16" s="108" t="str">
        <x:v>not_selected</x:v>
      </x:c>
      <x:c r="J16" s="108" t="str">
        <x:v>pending</x:v>
      </x:c>
      <x:c r="K16" s="108" t="str">
        <x:v>西厨</x:v>
      </x:c>
      <x:c r="L16" s="108" t="str">
        <x:v>西厨使用点</x:v>
      </x:c>
      <x:c r="M16" s="108" t="str"/>
      <x:c r="N16" s="108" t="str">
        <x:v>西厨使用点</x:v>
      </x:c>
      <x:c r="O16" s="108" t="str">
        <x:v>yes</x:v>
      </x:c>
      <x:c r="P16" s="108" t="str">
        <x:v>logical_input</x:v>
      </x:c>
      <x:c r="Q16" s="108" t="str">
        <x:v>APP-014</x:v>
      </x:c>
      <x:c r="R16" s="108" t="str"/>
      <x:c r="S16" s="108" t="str"/>
      <x:c r="T16" s="108" t="str"/>
      <x:c r="U16" s="108" t="str"/>
      <x:c r="V16" s="108" t="str"/>
      <x:c r="W16" s="108" t="str"/>
      <x:c r="X16" s="108" t="str">
        <x:v>0.80</x:v>
      </x:c>
      <x:c r="Y16" s="108" t="str">
        <x:v>yes</x:v>
      </x:c>
      <x:c r="Z16" s="108" t="str">
        <x:v>appliance</x:v>
      </x:c>
      <x:c r="AA16" s="108" t="str">
        <x:v>APP-014</x:v>
      </x:c>
      <x:c r="AB16" s="108" t="str">
        <x:v>补产品安装图和排水需求</x:v>
      </x:c>
    </x:row>
    <x:row r="17" ht="34" customHeight="1">
      <x:c r="A17" s="108" t="str">
        <x:v>APP-015</x:v>
      </x:c>
      <x:c r="B17" s="108" t="str">
        <x:v>APPLIANCE</x:v>
      </x:c>
      <x:c r="C17" s="108" t="str">
        <x:v>水处理设备</x:v>
      </x:c>
      <x:c r="D17" s="108" t="str">
        <x:v>净水器</x:v>
      </x:c>
      <x:c r="E17" s="108" t="str"/>
      <x:c r="F17" s="108" t="str"/>
      <x:c r="G17" s="108" t="str"/>
      <x:c r="H17" s="108" t="str">
        <x:v>1</x:v>
      </x:c>
      <x:c r="I17" s="108" t="str">
        <x:v>not_selected</x:v>
      </x:c>
      <x:c r="J17" s="108" t="str">
        <x:v>pending</x:v>
      </x:c>
      <x:c r="K17" s="108" t="str">
        <x:v>西厨柜内</x:v>
      </x:c>
      <x:c r="L17" s="108" t="str">
        <x:v>西厨柜内接口区</x:v>
      </x:c>
      <x:c r="M17" s="108" t="str"/>
      <x:c r="N17" s="108" t="str">
        <x:v>西厨柜内接口区</x:v>
      </x:c>
      <x:c r="O17" s="108" t="str">
        <x:v>yes</x:v>
      </x:c>
      <x:c r="P17" s="108" t="str">
        <x:v>logical_input</x:v>
      </x:c>
      <x:c r="Q17" s="108" t="str">
        <x:v>APP-015</x:v>
      </x:c>
      <x:c r="R17" s="108" t="str"/>
      <x:c r="S17" s="108" t="str"/>
      <x:c r="T17" s="108" t="str"/>
      <x:c r="U17" s="108" t="str"/>
      <x:c r="V17" s="108" t="str"/>
      <x:c r="W17" s="108" t="str"/>
      <x:c r="X17" s="108" t="str">
        <x:v>0.80</x:v>
      </x:c>
      <x:c r="Y17" s="108" t="str">
        <x:v>yes</x:v>
      </x:c>
      <x:c r="Z17" s="108" t="str">
        <x:v>appliance</x:v>
      </x:c>
      <x:c r="AA17" s="108" t="str">
        <x:v>APP-015</x:v>
      </x:c>
      <x:c r="AB17" s="108" t="str">
        <x:v>存放位置与龙头使用点分开记录</x:v>
      </x:c>
    </x:row>
    <x:row r="18" ht="34" customHeight="1">
      <x:c r="A18" s="108" t="str">
        <x:v>APP-016</x:v>
      </x:c>
      <x:c r="B18" s="108" t="str">
        <x:v>APPLIANCE</x:v>
      </x:c>
      <x:c r="C18" s="108" t="str">
        <x:v>固定厨房电器</x:v>
      </x:c>
      <x:c r="D18" s="108" t="str">
        <x:v>垃圾处理器</x:v>
      </x:c>
      <x:c r="E18" s="108" t="str"/>
      <x:c r="F18" s="108" t="str"/>
      <x:c r="G18" s="108" t="str"/>
      <x:c r="H18" s="108" t="str">
        <x:v>1</x:v>
      </x:c>
      <x:c r="I18" s="108" t="str">
        <x:v>not_selected</x:v>
      </x:c>
      <x:c r="J18" s="108" t="str">
        <x:v>pending</x:v>
      </x:c>
      <x:c r="K18" s="108" t="str">
        <x:v>西厨水槽柜</x:v>
      </x:c>
      <x:c r="L18" s="108" t="str">
        <x:v>西厨水槽柜</x:v>
      </x:c>
      <x:c r="M18" s="108" t="str"/>
      <x:c r="N18" s="108" t="str">
        <x:v>西厨水槽柜</x:v>
      </x:c>
      <x:c r="O18" s="108" t="str">
        <x:v>yes</x:v>
      </x:c>
      <x:c r="P18" s="108" t="str">
        <x:v>logical_input</x:v>
      </x:c>
      <x:c r="Q18" s="108" t="str">
        <x:v>APP-016</x:v>
      </x:c>
      <x:c r="R18" s="108" t="str"/>
      <x:c r="S18" s="108" t="str"/>
      <x:c r="T18" s="108" t="str"/>
      <x:c r="U18" s="108" t="str"/>
      <x:c r="V18" s="108" t="str"/>
      <x:c r="W18" s="108" t="str"/>
      <x:c r="X18" s="108" t="str">
        <x:v>0.80</x:v>
      </x:c>
      <x:c r="Y18" s="108" t="str">
        <x:v>yes</x:v>
      </x:c>
      <x:c r="Z18" s="108" t="str">
        <x:v>appliance</x:v>
      </x:c>
      <x:c r="AA18" s="108" t="str">
        <x:v>APP-016</x:v>
      </x:c>
      <x:c r="AB18" s="108" t="str">
        <x:v>补功率/开关方式/排水连接要求</x:v>
      </x:c>
    </x:row>
    <x:row r="19" ht="34" customHeight="1">
      <x:c r="A19" s="108" t="str">
        <x:v>APP-017</x:v>
      </x:c>
      <x:c r="B19" s="108" t="str">
        <x:v>APPLIANCE</x:v>
      </x:c>
      <x:c r="C19" s="108" t="str">
        <x:v>洗衣设备</x:v>
      </x:c>
      <x:c r="D19" s="108" t="str">
        <x:v>LG WashTower</x:v>
      </x:c>
      <x:c r="E19" s="108" t="str"/>
      <x:c r="F19" s="108" t="str"/>
      <x:c r="G19" s="108" t="str"/>
      <x:c r="H19" s="108" t="str">
        <x:v>1</x:v>
      </x:c>
      <x:c r="I19" s="108" t="str">
        <x:v>not_selected</x:v>
      </x:c>
      <x:c r="J19" s="108" t="str">
        <x:v>pending</x:v>
      </x:c>
      <x:c r="K19" s="108" t="str">
        <x:v>中厨</x:v>
      </x:c>
      <x:c r="L19" s="108" t="str">
        <x:v>中厨</x:v>
      </x:c>
      <x:c r="M19" s="108" t="str"/>
      <x:c r="N19" s="108" t="str">
        <x:v>中厨</x:v>
      </x:c>
      <x:c r="O19" s="108" t="str">
        <x:v>yes</x:v>
      </x:c>
      <x:c r="P19" s="108" t="str">
        <x:v>global_id</x:v>
      </x:c>
      <x:c r="Q19" s="108" t="str">
        <x:v>3JAkt8PsX7vPfGKWLK5EKp</x:v>
      </x:c>
      <x:c r="R19" s="108" t="str">
        <x:v>IfcBuildingElementProxy</x:v>
      </x:c>
      <x:c r="S19" s="108" t="str"/>
      <x:c r="T19" s="108" t="str"/>
      <x:c r="U19" s="108" t="str">
        <x:v>3JAkt8PsX7vPfGKWLK5EKp</x:v>
      </x:c>
      <x:c r="V19" s="108" t="str">
        <x:v>IFC-FORMAL-001</x:v>
      </x:c>
      <x:c r="W19" s="108" t="str">
        <x:v>正式 IFC 的 IfcBuildingElementProxy GlobalId 与既有体量</x:v>
      </x:c>
      <x:c r="X19" s="108" t="str">
        <x:v>1.00</x:v>
      </x:c>
      <x:c r="Y19" s="108" t="str">
        <x:v>yes</x:v>
      </x:c>
      <x:c r="Z19" s="108" t="str">
        <x:v>appliance</x:v>
      </x:c>
      <x:c r="AA19" s="108" t="str">
        <x:v>APP-017</x:v>
      </x:c>
      <x:c r="AB19" s="108" t="str">
        <x:v>正式 IFC 有设备体量；补完整型号与安装图</x:v>
      </x:c>
    </x:row>
    <x:row r="20" ht="34" customHeight="1">
      <x:c r="A20" s="108" t="str">
        <x:v>APP-018</x:v>
      </x:c>
      <x:c r="B20" s="108" t="str">
        <x:v>NETWORK</x:v>
      </x:c>
      <x:c r="C20" s="108" t="str">
        <x:v>网络设备</x:v>
      </x:c>
      <x:c r="D20" s="108" t="str">
        <x:v>Huawei 联通智家设备</x:v>
      </x:c>
      <x:c r="E20" s="108" t="str">
        <x:v>Huawei</x:v>
      </x:c>
      <x:c r="F20" s="108" t="str"/>
      <x:c r="G20" s="108" t="str"/>
      <x:c r="H20" s="108" t="str">
        <x:v>1</x:v>
      </x:c>
      <x:c r="I20" s="108" t="str">
        <x:v>candidate</x:v>
      </x:c>
      <x:c r="J20" s="108" t="str">
        <x:v>partial</x:v>
      </x:c>
      <x:c r="K20" s="108" t="str">
        <x:v>玄关弱电箱</x:v>
      </x:c>
      <x:c r="L20" s="108" t="str">
        <x:v>玄关弱电箱</x:v>
      </x:c>
      <x:c r="M20" s="108" t="str"/>
      <x:c r="N20" s="108" t="str">
        <x:v>玄关弱电箱</x:v>
      </x:c>
      <x:c r="O20" s="108" t="str">
        <x:v>yes</x:v>
      </x:c>
      <x:c r="P20" s="108" t="str">
        <x:v>logical_input</x:v>
      </x:c>
      <x:c r="Q20" s="108" t="str">
        <x:v>APP-018</x:v>
      </x:c>
      <x:c r="R20" s="108" t="str"/>
      <x:c r="S20" s="108" t="str"/>
      <x:c r="T20" s="108" t="str"/>
      <x:c r="U20" s="108" t="str"/>
      <x:c r="V20" s="108" t="str"/>
      <x:c r="W20" s="108" t="str"/>
      <x:c r="X20" s="108" t="str">
        <x:v>0.80</x:v>
      </x:c>
      <x:c r="Y20" s="108" t="str">
        <x:v>yes</x:v>
      </x:c>
      <x:c r="Z20" s="108" t="str">
        <x:v>appliance</x:v>
      </x:c>
      <x:c r="AA20" s="108" t="str">
        <x:v>APP-018</x:v>
      </x:c>
      <x:c r="AB20" s="108" t="str">
        <x:v>实际箱内运行已确认；补底部铭牌与设备功能</x:v>
      </x:c>
    </x:row>
    <x:row r="21" ht="34" customHeight="1">
      <x:c r="A21" s="108" t="str">
        <x:v>FUR-SHE01</x:v>
      </x:c>
      <x:c r="B21" s="108" t="str">
        <x:v>FURNITURE</x:v>
      </x:c>
      <x:c r="C21" s="108" t="str">
        <x:v>bookcase</x:v>
      </x:c>
      <x:c r="D21" s="108" t="str">
        <x:v>Rafiki</x:v>
      </x:c>
      <x:c r="E21" s="108" t="str">
        <x:v>Baxter</x:v>
      </x:c>
      <x:c r="F21" s="108" t="str">
        <x:v>Rafiki</x:v>
      </x:c>
      <x:c r="G21" s="108" t="str"/>
      <x:c r="H21" s="108" t="str">
        <x:v>1</x:v>
      </x:c>
      <x:c r="I21" s="108" t="str">
        <x:v>selected</x:v>
      </x:c>
      <x:c r="J21" s="108" t="str">
        <x:v>confirmed</x:v>
      </x:c>
      <x:c r="K21" s="108" t="str"/>
      <x:c r="L21" s="108" t="str"/>
      <x:c r="M21" s="108" t="str"/>
      <x:c r="N21" s="108" t="str"/>
      <x:c r="O21" s="108" t="str">
        <x:v>yes</x:v>
      </x:c>
      <x:c r="P21" s="108" t="str">
        <x:v>type_name</x:v>
      </x:c>
      <x:c r="Q21" s="108" t="str">
        <x:v>SHE01</x:v>
      </x:c>
      <x:c r="R21" s="108" t="str">
        <x:v>IfcFurniture</x:v>
      </x:c>
      <x:c r="S21" s="108" t="str">
        <x:v>SHE01</x:v>
      </x:c>
      <x:c r="T21" s="108" t="str">
        <x:v>3erXbcQWHCt8x59$W3bG_Q</x:v>
      </x:c>
      <x:c r="U21" s="108" t="str"/>
      <x:c r="V21" s="108" t="str">
        <x:v>FUR-SRC-SHE01</x:v>
      </x:c>
      <x:c r="W21" s="108" t="str">
        <x:v>用户确认产品链接；Baxter 官方页面将 Rafiki 标识为 bookcase</x:v>
      </x:c>
      <x:c r="X21" s="108" t="str">
        <x:v>1.00</x:v>
      </x:c>
      <x:c r="Y21" s="108" t="str">
        <x:v>no</x:v>
      </x:c>
      <x:c r="Z21" s="108" t="str">
        <x:v>furniture_product</x:v>
      </x:c>
      <x:c r="AA21" s="108" t="str">
        <x:v>SHE01</x:v>
      </x:c>
      <x:c r="AB21" s="108" t="str"/>
    </x:row>
    <x:row r="22" ht="34" customHeight="1">
      <x:c r="A22" s="108" t="str">
        <x:v>FUR-Libelle</x:v>
      </x:c>
      <x:c r="B22" s="108" t="str">
        <x:v>FURNITURE</x:v>
      </x:c>
      <x:c r="C22" s="108" t="str">
        <x:v>modular_bookcase</x:v>
      </x:c>
      <x:c r="D22" s="108" t="str">
        <x:v>Libelle</x:v>
      </x:c>
      <x:c r="E22" s="108" t="str">
        <x:v>Baxter</x:v>
      </x:c>
      <x:c r="F22" s="108" t="str">
        <x:v>Libelle</x:v>
      </x:c>
      <x:c r="G22" s="108" t="str"/>
      <x:c r="H22" s="108" t="str">
        <x:v>1</x:v>
      </x:c>
      <x:c r="I22" s="108" t="str">
        <x:v>selected</x:v>
      </x:c>
      <x:c r="J22" s="108" t="str">
        <x:v>confirmed</x:v>
      </x:c>
      <x:c r="K22" s="108" t="str"/>
      <x:c r="L22" s="108" t="str">
        <x:v>存放酒和调酒器具</x:v>
      </x:c>
      <x:c r="M22" s="108" t="str"/>
      <x:c r="N22" s="108" t="str">
        <x:v>存放酒和调酒器具</x:v>
      </x:c>
      <x:c r="O22" s="108" t="str">
        <x:v>yes</x:v>
      </x:c>
      <x:c r="P22" s="108" t="str">
        <x:v>type_name</x:v>
      </x:c>
      <x:c r="Q22" s="108" t="str">
        <x:v>Libelle</x:v>
      </x:c>
      <x:c r="R22" s="108" t="str">
        <x:v>IfcFurniture</x:v>
      </x:c>
      <x:c r="S22" s="108" t="str">
        <x:v>Libelle</x:v>
      </x:c>
      <x:c r="T22" s="108" t="str">
        <x:v>1FudEC16D6iAkSWQC_7G2k</x:v>
      </x:c>
      <x:c r="U22" s="108" t="str"/>
      <x:c r="V22" s="108" t="str">
        <x:v>FUR-SRC-Libelle</x:v>
      </x:c>
      <x:c r="W22" s="108" t="str">
        <x:v>用户确认产品链接和使用意图；Baxter 官方页面将 Libelle 标识为可配置瓶架和储物单元的模块化书架</x:v>
      </x:c>
      <x:c r="X22" s="108" t="str">
        <x:v>1.00</x:v>
      </x:c>
      <x:c r="Y22" s="108" t="str">
        <x:v>no</x:v>
      </x:c>
      <x:c r="Z22" s="108" t="str">
        <x:v>furniture_product</x:v>
      </x:c>
      <x:c r="AA22" s="108" t="str">
        <x:v>Libelle</x:v>
      </x:c>
      <x:c r="AB22" s="108" t="str"/>
    </x:row>
    <x:row r="23" ht="34" customHeight="1">
      <x:c r="A23" s="108" t="str">
        <x:v>FUR-WD01</x:v>
      </x:c>
      <x:c r="B23" s="108" t="str">
        <x:v>FURNITURE</x:v>
      </x:c>
      <x:c r="C23" s="108" t="str">
        <x:v>modular_wardrobe_and_pivot_door_system</x:v>
      </x:c>
      <x:c r="D23" s="108" t="str">
        <x:v>Senzafine + Pivot</x:v>
      </x:c>
      <x:c r="E23" s="108" t="str">
        <x:v>Poliform</x:v>
      </x:c>
      <x:c r="F23" s="108" t="str">
        <x:v>Senzafine + Pivot</x:v>
      </x:c>
      <x:c r="G23" s="108" t="str">
        <x:v>freestanding_wardrobe_and_wall_mounted_pivot</x:v>
      </x:c>
      <x:c r="H23" s="108" t="str">
        <x:v>1</x:v>
      </x:c>
      <x:c r="I23" s="108" t="str">
        <x:v>selected</x:v>
      </x:c>
      <x:c r="J23" s="108" t="str">
        <x:v>confirmed</x:v>
      </x:c>
      <x:c r="K23" s="108" t="str"/>
      <x:c r="L23" s="108" t="str">
        <x:v>衣物收纳及衣柜与墙体之间的旋转门系统</x:v>
      </x:c>
      <x:c r="M23" s="108" t="str"/>
      <x:c r="N23" s="108" t="str">
        <x:v>衣物收纳及衣柜与墙体之间的旋转门系统</x:v>
      </x:c>
      <x:c r="O23" s="108" t="str">
        <x:v>yes</x:v>
      </x:c>
      <x:c r="P23" s="108" t="str">
        <x:v>type_name</x:v>
      </x:c>
      <x:c r="Q23" s="108" t="str">
        <x:v>WD01</x:v>
      </x:c>
      <x:c r="R23" s="108" t="str">
        <x:v>IfcFurniture</x:v>
      </x:c>
      <x:c r="S23" s="108" t="str">
        <x:v>WD01</x:v>
      </x:c>
      <x:c r="T23" s="108" t="str">
        <x:v>0vf8HbSFv9FfzysXNlGjdx</x:v>
      </x:c>
      <x:c r="U23" s="108" t="str"/>
      <x:c r="V23" s="108" t="str">
        <x:v>FUR-SRC-WD01</x:v>
      </x:c>
      <x:c r="W23" s="108" t="str">
        <x:v>用户确认“Pivot between wardrobe and wall: freestanding wardrobe and wall mounted Pivot”；IFC 类型 Description=Poliform Pivot Senzafine；官方 Pivot 页面证明其为可与 Poliform 衣柜系统集成的旋转门/开口系统</x:v>
      </x:c>
      <x:c r="X23" s="108" t="str">
        <x:v>1.00</x:v>
      </x:c>
      <x:c r="Y23" s="108" t="str">
        <x:v>no</x:v>
      </x:c>
      <x:c r="Z23" s="108" t="str">
        <x:v>furniture_product</x:v>
      </x:c>
      <x:c r="AA23" s="108" t="str">
        <x:v>WD01</x:v>
      </x:c>
      <x:c r="AB23" s="108" t="str"/>
    </x:row>
    <x:row r="24" ht="34" customHeight="1">
      <x:c r="A24" s="108" t="str">
        <x:v>FUR-WD01L</x:v>
      </x:c>
      <x:c r="B24" s="108" t="str">
        <x:v>FURNITURE</x:v>
      </x:c>
      <x:c r="C24" s="108" t="str">
        <x:v>modular_wardrobe_and_pivot_door_system</x:v>
      </x:c>
      <x:c r="D24" s="108" t="str">
        <x:v>Senzafine + Pivot</x:v>
      </x:c>
      <x:c r="E24" s="108" t="str">
        <x:v>Poliform</x:v>
      </x:c>
      <x:c r="F24" s="108" t="str">
        <x:v>Senzafine + Pivot</x:v>
      </x:c>
      <x:c r="G24" s="108" t="str">
        <x:v>freestanding_wardrobe_and_wall_mounted_pivot</x:v>
      </x:c>
      <x:c r="H24" s="108" t="str">
        <x:v>1</x:v>
      </x:c>
      <x:c r="I24" s="108" t="str">
        <x:v>selected</x:v>
      </x:c>
      <x:c r="J24" s="108" t="str">
        <x:v>confirmed</x:v>
      </x:c>
      <x:c r="K24" s="108" t="str"/>
      <x:c r="L24" s="108" t="str">
        <x:v>衣物收纳及衣柜与墙体之间的旋转门系统</x:v>
      </x:c>
      <x:c r="M24" s="108" t="str"/>
      <x:c r="N24" s="108" t="str">
        <x:v>衣物收纳及衣柜与墙体之间的旋转门系统</x:v>
      </x:c>
      <x:c r="O24" s="108" t="str">
        <x:v>yes</x:v>
      </x:c>
      <x:c r="P24" s="108" t="str">
        <x:v>type_name</x:v>
      </x:c>
      <x:c r="Q24" s="108" t="str">
        <x:v>WD01L</x:v>
      </x:c>
      <x:c r="R24" s="108" t="str">
        <x:v>IfcFurniture</x:v>
      </x:c>
      <x:c r="S24" s="108" t="str">
        <x:v>WD01L</x:v>
      </x:c>
      <x:c r="T24" s="108" t="str">
        <x:v>1o1OcgN2D1hfuNiGy99OEi</x:v>
      </x:c>
      <x:c r="U24" s="108" t="str"/>
      <x:c r="V24" s="108" t="str">
        <x:v>FUR-SRC-WD01L</x:v>
      </x:c>
      <x:c r="W24" s="108" t="str">
        <x:v>用户确认“Pivot between wardrobe and wall: freestanding wardrobe and wall mounted Pivot”；IFC 类型 Description=Poliform Pivot Senzafine；官方 Pivot 页面证明其为可与 Poliform 衣柜系统集成的旋转门/开口系统</x:v>
      </x:c>
      <x:c r="X24" s="108" t="str">
        <x:v>1.00</x:v>
      </x:c>
      <x:c r="Y24" s="108" t="str">
        <x:v>no</x:v>
      </x:c>
      <x:c r="Z24" s="108" t="str">
        <x:v>furniture_product</x:v>
      </x:c>
      <x:c r="AA24" s="108" t="str">
        <x:v>WD01L</x:v>
      </x:c>
      <x:c r="AB24" s="108" t="str"/>
    </x:row>
    <x:row r="25" ht="34" customHeight="1">
      <x:c r="A25" s="108" t="str">
        <x:v>FUR-WD02</x:v>
      </x:c>
      <x:c r="B25" s="108" t="str">
        <x:v>FURNITURE</x:v>
      </x:c>
      <x:c r="C25" s="108" t="str">
        <x:v>modular_wardrobe_system</x:v>
      </x:c>
      <x:c r="D25" s="108" t="str">
        <x:v>Senzafine</x:v>
      </x:c>
      <x:c r="E25" s="108" t="str">
        <x:v>Poliform</x:v>
      </x:c>
      <x:c r="F25" s="108" t="str">
        <x:v>Senzafine</x:v>
      </x:c>
      <x:c r="G25" s="108" t="str"/>
      <x:c r="H25" s="108" t="str">
        <x:v>1</x:v>
      </x:c>
      <x:c r="I25" s="108" t="str">
        <x:v>selected</x:v>
      </x:c>
      <x:c r="J25" s="108" t="str">
        <x:v>confirmed</x:v>
      </x:c>
      <x:c r="K25" s="108" t="str"/>
      <x:c r="L25" s="108" t="str">
        <x:v>衣物收纳</x:v>
      </x:c>
      <x:c r="M25" s="108" t="str"/>
      <x:c r="N25" s="108" t="str">
        <x:v>衣物收纳</x:v>
      </x:c>
      <x:c r="O25" s="108" t="str">
        <x:v>yes</x:v>
      </x:c>
      <x:c r="P25" s="108" t="str">
        <x:v>type_name</x:v>
      </x:c>
      <x:c r="Q25" s="108" t="str">
        <x:v>WD02</x:v>
      </x:c>
      <x:c r="R25" s="108" t="str">
        <x:v>IfcFurniture</x:v>
      </x:c>
      <x:c r="S25" s="108" t="str">
        <x:v>WD02</x:v>
      </x:c>
      <x:c r="T25" s="108" t="str">
        <x:v>3Xia__Mm57iv5rlzD9v6Yn</x:v>
      </x:c>
      <x:c r="U25" s="108" t="str"/>
      <x:c r="V25" s="108" t="str">
        <x:v>FUR-SRC-WD02</x:v>
      </x:c>
      <x:c r="W25" s="108" t="str">
        <x:v>用户确认产品链接；Poliform 官方页面将 Senzafine 标识为模块化衣柜系统</x:v>
      </x:c>
      <x:c r="X25" s="108" t="str">
        <x:v>1.00</x:v>
      </x:c>
      <x:c r="Y25" s="108" t="str">
        <x:v>no</x:v>
      </x:c>
      <x:c r="Z25" s="108" t="str">
        <x:v>furniture_product</x:v>
      </x:c>
      <x:c r="AA25" s="108" t="str">
        <x:v>WD02</x:v>
      </x:c>
      <x:c r="AB25" s="108" t="str"/>
    </x:row>
    <x:row r="26" ht="34" customHeight="1">
      <x:c r="A26" s="108" t="str">
        <x:v>FUR-WD03</x:v>
      </x:c>
      <x:c r="B26" s="108" t="str">
        <x:v>FURNITURE</x:v>
      </x:c>
      <x:c r="C26" s="108" t="str">
        <x:v>modular_wardrobe_system</x:v>
      </x:c>
      <x:c r="D26" s="108" t="str">
        <x:v>Senzafine</x:v>
      </x:c>
      <x:c r="E26" s="108" t="str">
        <x:v>Poliform</x:v>
      </x:c>
      <x:c r="F26" s="108" t="str">
        <x:v>Senzafine</x:v>
      </x:c>
      <x:c r="G26" s="108" t="str"/>
      <x:c r="H26" s="108" t="str">
        <x:v>1</x:v>
      </x:c>
      <x:c r="I26" s="108" t="str">
        <x:v>selected</x:v>
      </x:c>
      <x:c r="J26" s="108" t="str">
        <x:v>confirmed</x:v>
      </x:c>
      <x:c r="K26" s="108" t="str"/>
      <x:c r="L26" s="108" t="str">
        <x:v>衣物收纳</x:v>
      </x:c>
      <x:c r="M26" s="108" t="str"/>
      <x:c r="N26" s="108" t="str">
        <x:v>衣物收纳</x:v>
      </x:c>
      <x:c r="O26" s="108" t="str">
        <x:v>yes</x:v>
      </x:c>
      <x:c r="P26" s="108" t="str">
        <x:v>type_name</x:v>
      </x:c>
      <x:c r="Q26" s="108" t="str">
        <x:v>WD03</x:v>
      </x:c>
      <x:c r="R26" s="108" t="str">
        <x:v>IfcFurniture</x:v>
      </x:c>
      <x:c r="S26" s="108" t="str">
        <x:v>WD03</x:v>
      </x:c>
      <x:c r="T26" s="108" t="str">
        <x:v>0l3LxR2Lj1egsE94rFSMeK</x:v>
      </x:c>
      <x:c r="U26" s="108" t="str"/>
      <x:c r="V26" s="108" t="str">
        <x:v>FUR-SRC-WD03</x:v>
      </x:c>
      <x:c r="W26" s="108" t="str">
        <x:v>用户确认产品链接；Poliform 官方页面将 Senzafine 标识为模块化衣柜系统</x:v>
      </x:c>
      <x:c r="X26" s="108" t="str">
        <x:v>1.00</x:v>
      </x:c>
      <x:c r="Y26" s="108" t="str">
        <x:v>no</x:v>
      </x:c>
      <x:c r="Z26" s="108" t="str">
        <x:v>furniture_product</x:v>
      </x:c>
      <x:c r="AA26" s="108" t="str">
        <x:v>WD03</x:v>
      </x:c>
      <x:c r="AB26" s="108" t="str"/>
    </x:row>
    <x:row r="27" ht="34" customHeight="1">
      <x:c r="A27" s="108" t="str">
        <x:v>FUR-BST01</x:v>
      </x:c>
      <x:c r="B27" s="108" t="str">
        <x:v>FURNITURE</x:v>
      </x:c>
      <x:c r="C27" s="108" t="str">
        <x:v>bedside_table</x:v>
      </x:c>
      <x:c r="D27" s="108" t="str">
        <x:v>Ninfea</x:v>
      </x:c>
      <x:c r="E27" s="108" t="str">
        <x:v>Baxter</x:v>
      </x:c>
      <x:c r="F27" s="108" t="str">
        <x:v>Ninfea</x:v>
      </x:c>
      <x:c r="G27" s="108" t="str">
        <x:v>bedside_table_opening_side_not_recorded</x:v>
      </x:c>
      <x:c r="H27" s="108" t="str">
        <x:v>1</x:v>
      </x:c>
      <x:c r="I27" s="108" t="str">
        <x:v>selected</x:v>
      </x:c>
      <x:c r="J27" s="108" t="str">
        <x:v>confirmed</x:v>
      </x:c>
      <x:c r="K27" s="108" t="str"/>
      <x:c r="L27" s="108" t="str">
        <x:v>床头收纳</x:v>
      </x:c>
      <x:c r="M27" s="108" t="str"/>
      <x:c r="N27" s="108" t="str">
        <x:v>床头收纳</x:v>
      </x:c>
      <x:c r="O27" s="108" t="str">
        <x:v>yes</x:v>
      </x:c>
      <x:c r="P27" s="108" t="str">
        <x:v>type_name</x:v>
      </x:c>
      <x:c r="Q27" s="108" t="str">
        <x:v>BST01</x:v>
      </x:c>
      <x:c r="R27" s="108" t="str">
        <x:v>IfcFurniture</x:v>
      </x:c>
      <x:c r="S27" s="108" t="str">
        <x:v>BST01</x:v>
      </x:c>
      <x:c r="T27" s="108" t="str">
        <x:v>0ZWJNi2GP9KvvQhOX1hwKP</x:v>
      </x:c>
      <x:c r="U27" s="108" t="str"/>
      <x:c r="V27" s="108" t="str">
        <x:v>FUR-SRC-BST01</x:v>
      </x:c>
      <x:c r="W27" s="108" t="str">
        <x:v>用户确认产品链接；IFC 类型名 BST01 与官方页面的 Ninfea bedside table 品类一致；左右开口未在 IFC 类型名中记录</x:v>
      </x:c>
      <x:c r="X27" s="108" t="str">
        <x:v>1.00</x:v>
      </x:c>
      <x:c r="Y27" s="108" t="str">
        <x:v>no</x:v>
      </x:c>
      <x:c r="Z27" s="108" t="str">
        <x:v>furniture_product</x:v>
      </x:c>
      <x:c r="AA27" s="108" t="str">
        <x:v>BST01</x:v>
      </x:c>
      <x:c r="AB27" s="108" t="str"/>
    </x:row>
    <x:row r="28" ht="34" customHeight="1">
      <x:c r="A28" s="108" t="str">
        <x:v>FUR-BST02</x:v>
      </x:c>
      <x:c r="B28" s="108" t="str">
        <x:v>FURNITURE</x:v>
      </x:c>
      <x:c r="C28" s="108" t="str">
        <x:v>bedside_table</x:v>
      </x:c>
      <x:c r="D28" s="108" t="str">
        <x:v>Beside</x:v>
      </x:c>
      <x:c r="E28" s="108" t="str">
        <x:v>Baxter</x:v>
      </x:c>
      <x:c r="F28" s="108" t="str">
        <x:v>Beside</x:v>
      </x:c>
      <x:c r="G28" s="108" t="str">
        <x:v>bedside_table</x:v>
      </x:c>
      <x:c r="H28" s="108" t="str">
        <x:v>1</x:v>
      </x:c>
      <x:c r="I28" s="108" t="str">
        <x:v>selected</x:v>
      </x:c>
      <x:c r="J28" s="108" t="str">
        <x:v>confirmed</x:v>
      </x:c>
      <x:c r="K28" s="108" t="str"/>
      <x:c r="L28" s="108" t="str">
        <x:v>床头收纳</x:v>
      </x:c>
      <x:c r="M28" s="108" t="str"/>
      <x:c r="N28" s="108" t="str">
        <x:v>床头收纳</x:v>
      </x:c>
      <x:c r="O28" s="108" t="str">
        <x:v>yes</x:v>
      </x:c>
      <x:c r="P28" s="108" t="str">
        <x:v>type_name</x:v>
      </x:c>
      <x:c r="Q28" s="108" t="str">
        <x:v>BST02</x:v>
      </x:c>
      <x:c r="R28" s="108" t="str">
        <x:v>IfcFurniture</x:v>
      </x:c>
      <x:c r="S28" s="108" t="str">
        <x:v>BST02</x:v>
      </x:c>
      <x:c r="T28" s="108" t="str">
        <x:v>1OOnzl9Iv0OOHaA0EOe321</x:v>
      </x:c>
      <x:c r="U28" s="108" t="str"/>
      <x:c r="V28" s="108" t="str">
        <x:v>FUR-SRC-BST02</x:v>
      </x:c>
      <x:c r="W28" s="108" t="str">
        <x:v>用户确认产品链接；Baxter 官方页面将 Beside 标识为 bedside table</x:v>
      </x:c>
      <x:c r="X28" s="108" t="str">
        <x:v>1.00</x:v>
      </x:c>
      <x:c r="Y28" s="108" t="str">
        <x:v>no</x:v>
      </x:c>
      <x:c r="Z28" s="108" t="str">
        <x:v>furniture_product</x:v>
      </x:c>
      <x:c r="AA28" s="108" t="str">
        <x:v>BST02</x:v>
      </x:c>
      <x:c r="AB28" s="108" t="str"/>
    </x:row>
    <x:row r="29" ht="34" customHeight="1">
      <x:c r="A29" s="108" t="str">
        <x:v>FUR-BST03</x:v>
      </x:c>
      <x:c r="B29" s="108" t="str">
        <x:v>FURNITURE</x:v>
      </x:c>
      <x:c r="C29" s="108" t="str">
        <x:v>bedside_table</x:v>
      </x:c>
      <x:c r="D29" s="108" t="str">
        <x:v>Stone</x:v>
      </x:c>
      <x:c r="E29" s="108" t="str">
        <x:v>Baxter</x:v>
      </x:c>
      <x:c r="F29" s="108" t="str">
        <x:v>Stone</x:v>
      </x:c>
      <x:c r="G29" s="108" t="str">
        <x:v>freestanding_bedside_table_with_L_drawer</x:v>
      </x:c>
      <x:c r="H29" s="108" t="str">
        <x:v>1</x:v>
      </x:c>
      <x:c r="I29" s="108" t="str">
        <x:v>selected</x:v>
      </x:c>
      <x:c r="J29" s="108" t="str">
        <x:v>confirmed</x:v>
      </x:c>
      <x:c r="K29" s="108" t="str"/>
      <x:c r="L29" s="108" t="str">
        <x:v>床头收纳</x:v>
      </x:c>
      <x:c r="M29" s="108" t="str"/>
      <x:c r="N29" s="108" t="str">
        <x:v>床头收纳</x:v>
      </x:c>
      <x:c r="O29" s="108" t="str">
        <x:v>yes</x:v>
      </x:c>
      <x:c r="P29" s="108" t="str">
        <x:v>type_name</x:v>
      </x:c>
      <x:c r="Q29" s="108" t="str">
        <x:v>BST03</x:v>
      </x:c>
      <x:c r="R29" s="108" t="str">
        <x:v>IfcFurniture</x:v>
      </x:c>
      <x:c r="S29" s="108" t="str">
        <x:v>BST03</x:v>
      </x:c>
      <x:c r="T29" s="108" t="str">
        <x:v>1H0dYxOl555gbdbAoy$fYk</x:v>
      </x:c>
      <x:c r="U29" s="108" t="str"/>
      <x:c r="V29" s="108" t="str">
        <x:v>FUR-SRC-BST03</x:v>
      </x:c>
      <x:c r="W29" s="108" t="str">
        <x:v>用户确认为 Stone 系列 FREESTANDING BEDSIDE TABLE WITH L DRAWER；Baxter 官方页面列出该款床头柜</x:v>
      </x:c>
      <x:c r="X29" s="108" t="str">
        <x:v>1.00</x:v>
      </x:c>
      <x:c r="Y29" s="108" t="str">
        <x:v>no</x:v>
      </x:c>
      <x:c r="Z29" s="108" t="str">
        <x:v>furniture_product</x:v>
      </x:c>
      <x:c r="AA29" s="108" t="str">
        <x:v>BST03</x:v>
      </x:c>
      <x:c r="AB29" s="108" t="str"/>
    </x:row>
    <x:row r="30" ht="34" customHeight="1">
      <x:c r="A30" s="108" t="str">
        <x:v>DW-M01</x:v>
      </x:c>
      <x:c r="B30" s="108" t="str">
        <x:v>DOOR_WINDOW</x:v>
      </x:c>
      <x:c r="C30" s="108" t="str">
        <x:v>IfcDoor</x:v>
      </x:c>
      <x:c r="D30" s="108" t="str">
        <x:v>M01 · Door</x:v>
      </x:c>
      <x:c r="E30" s="108" t="str"/>
      <x:c r="F30" s="108" t="str"/>
      <x:c r="G30" s="108" t="str"/>
      <x:c r="H30" s="108" t="str">
        <x:v>1</x:v>
      </x:c>
      <x:c r="I30" s="108" t="str">
        <x:v>not_selected</x:v>
      </x:c>
      <x:c r="J30" s="108" t="str">
        <x:v>ifc_observed</x:v>
      </x:c>
      <x:c r="K30" s="108" t="str"/>
      <x:c r="L30" s="108" t="str">
        <x:v>客厅; 阳台</x:v>
      </x:c>
      <x:c r="M30" s="108" t="str"/>
      <x:c r="N30" s="108" t="str"/>
      <x:c r="O30" s="108" t="str">
        <x:v>yes</x:v>
      </x:c>
      <x:c r="P30" s="108" t="str">
        <x:v>global_id</x:v>
      </x:c>
      <x:c r="Q30" s="108" t="str">
        <x:v>0KYkZzyYj4leM7EZCh3ZYW</x:v>
      </x:c>
      <x:c r="R30" s="108" t="str">
        <x:v>IfcDoor</x:v>
      </x:c>
      <x:c r="S30" s="108" t="str"/>
      <x:c r="T30" s="108" t="str"/>
      <x:c r="U30" s="108" t="str">
        <x:v>0KYkZzyYj4leM7EZCh3ZYW</x:v>
      </x:c>
      <x:c r="V30" s="108" t="str">
        <x:v>IFC-FORMAL-001</x:v>
      </x:c>
      <x:c r="W30" s="108" t="str">
        <x:v>IfcRelFillsElement + IfcRelVoidsElement + nominal size/opening geometry</x:v>
      </x:c>
      <x:c r="X30" s="108" t="str">
        <x:v>1.00</x:v>
      </x:c>
      <x:c r="Y30" s="108" t="str">
        <x:v>no</x:v>
      </x:c>
      <x:c r="Z30" s="108" t="str">
        <x:v>a104</x:v>
      </x:c>
      <x:c r="AA30" s="108" t="str">
        <x:v>M01</x:v>
      </x:c>
      <x:c r="AB30" s="108" t="str"/>
    </x:row>
    <x:row r="31" ht="34" customHeight="1">
      <x:c r="A31" s="108" t="str">
        <x:v>DW-M02</x:v>
      </x:c>
      <x:c r="B31" s="108" t="str">
        <x:v>DOOR_WINDOW</x:v>
      </x:c>
      <x:c r="C31" s="108" t="str">
        <x:v>IfcDoor</x:v>
      </x:c>
      <x:c r="D31" s="108" t="str">
        <x:v>M02 · Door</x:v>
      </x:c>
      <x:c r="E31" s="108" t="str"/>
      <x:c r="F31" s="108" t="str"/>
      <x:c r="G31" s="108" t="str"/>
      <x:c r="H31" s="108" t="str">
        <x:v>1</x:v>
      </x:c>
      <x:c r="I31" s="108" t="str">
        <x:v>not_selected</x:v>
      </x:c>
      <x:c r="J31" s="108" t="str">
        <x:v>ifc_observed</x:v>
      </x:c>
      <x:c r="K31" s="108" t="str"/>
      <x:c r="L31" s="108" t="str">
        <x:v>客厅; 阳台</x:v>
      </x:c>
      <x:c r="M31" s="108" t="str"/>
      <x:c r="N31" s="108" t="str"/>
      <x:c r="O31" s="108" t="str">
        <x:v>yes</x:v>
      </x:c>
      <x:c r="P31" s="108" t="str">
        <x:v>global_id</x:v>
      </x:c>
      <x:c r="Q31" s="108" t="str">
        <x:v>0KtzVrwAn5aBZMFpM3Ygkt</x:v>
      </x:c>
      <x:c r="R31" s="108" t="str">
        <x:v>IfcDoor</x:v>
      </x:c>
      <x:c r="S31" s="108" t="str"/>
      <x:c r="T31" s="108" t="str"/>
      <x:c r="U31" s="108" t="str">
        <x:v>0KtzVrwAn5aBZMFpM3Ygkt</x:v>
      </x:c>
      <x:c r="V31" s="108" t="str">
        <x:v>IFC-FORMAL-001</x:v>
      </x:c>
      <x:c r="W31" s="108" t="str">
        <x:v>IfcRelFillsElement + IfcRelVoidsElement + nominal size/opening geometry</x:v>
      </x:c>
      <x:c r="X31" s="108" t="str">
        <x:v>1.00</x:v>
      </x:c>
      <x:c r="Y31" s="108" t="str">
        <x:v>no</x:v>
      </x:c>
      <x:c r="Z31" s="108" t="str">
        <x:v>a104</x:v>
      </x:c>
      <x:c r="AA31" s="108" t="str">
        <x:v>M02</x:v>
      </x:c>
      <x:c r="AB31" s="108" t="str"/>
    </x:row>
    <x:row r="32" ht="34" customHeight="1">
      <x:c r="A32" s="108" t="str">
        <x:v>DW-M03</x:v>
      </x:c>
      <x:c r="B32" s="108" t="str">
        <x:v>DOOR_WINDOW</x:v>
      </x:c>
      <x:c r="C32" s="108" t="str">
        <x:v>IfcDoor</x:v>
      </x:c>
      <x:c r="D32" s="108" t="str">
        <x:v>M03 · Door</x:v>
      </x:c>
      <x:c r="E32" s="108" t="str"/>
      <x:c r="F32" s="108" t="str"/>
      <x:c r="G32" s="108" t="str"/>
      <x:c r="H32" s="108" t="str">
        <x:v>1</x:v>
      </x:c>
      <x:c r="I32" s="108" t="str">
        <x:v>not_selected</x:v>
      </x:c>
      <x:c r="J32" s="108" t="str">
        <x:v>ifc_observed</x:v>
      </x:c>
      <x:c r="K32" s="108" t="str"/>
      <x:c r="L32" s="108" t="str">
        <x:v>客卫; 客卫干区</x:v>
      </x:c>
      <x:c r="M32" s="108" t="str"/>
      <x:c r="N32" s="108" t="str"/>
      <x:c r="O32" s="108" t="str">
        <x:v>yes</x:v>
      </x:c>
      <x:c r="P32" s="108" t="str">
        <x:v>global_id</x:v>
      </x:c>
      <x:c r="Q32" s="108" t="str">
        <x:v>1To6gRjrf2nBU5GQuuD8FV</x:v>
      </x:c>
      <x:c r="R32" s="108" t="str">
        <x:v>IfcDoor</x:v>
      </x:c>
      <x:c r="S32" s="108" t="str"/>
      <x:c r="T32" s="108" t="str"/>
      <x:c r="U32" s="108" t="str">
        <x:v>1To6gRjrf2nBU5GQuuD8FV</x:v>
      </x:c>
      <x:c r="V32" s="108" t="str">
        <x:v>IFC-FORMAL-001</x:v>
      </x:c>
      <x:c r="W32" s="108" t="str">
        <x:v>IfcRelFillsElement + IfcRelVoidsElement + nominal size/opening geometry</x:v>
      </x:c>
      <x:c r="X32" s="108" t="str">
        <x:v>1.00</x:v>
      </x:c>
      <x:c r="Y32" s="108" t="str">
        <x:v>no</x:v>
      </x:c>
      <x:c r="Z32" s="108" t="str">
        <x:v>a104</x:v>
      </x:c>
      <x:c r="AA32" s="108" t="str">
        <x:v>M03</x:v>
      </x:c>
      <x:c r="AB32" s="108" t="str"/>
    </x:row>
    <x:row r="33" ht="34" customHeight="1">
      <x:c r="A33" s="108" t="str">
        <x:v>DW-M04</x:v>
      </x:c>
      <x:c r="B33" s="108" t="str">
        <x:v>DOOR_WINDOW</x:v>
      </x:c>
      <x:c r="C33" s="108" t="str">
        <x:v>IfcDoor</x:v>
      </x:c>
      <x:c r="D33" s="108" t="str">
        <x:v>M04 · 次卧门</x:v>
      </x:c>
      <x:c r="E33" s="108" t="str"/>
      <x:c r="F33" s="108" t="str"/>
      <x:c r="G33" s="108" t="str"/>
      <x:c r="H33" s="108" t="str">
        <x:v>1</x:v>
      </x:c>
      <x:c r="I33" s="108" t="str">
        <x:v>not_selected</x:v>
      </x:c>
      <x:c r="J33" s="108" t="str">
        <x:v>ifc_observed</x:v>
      </x:c>
      <x:c r="K33" s="108" t="str"/>
      <x:c r="L33" s="108" t="str">
        <x:v>客卫干区; 次卧</x:v>
      </x:c>
      <x:c r="M33" s="108" t="str"/>
      <x:c r="N33" s="108" t="str"/>
      <x:c r="O33" s="108" t="str">
        <x:v>yes</x:v>
      </x:c>
      <x:c r="P33" s="108" t="str">
        <x:v>global_id</x:v>
      </x:c>
      <x:c r="Q33" s="108" t="str">
        <x:v>3xKBbA2CT9mfby2$MODnzM</x:v>
      </x:c>
      <x:c r="R33" s="108" t="str">
        <x:v>IfcDoor</x:v>
      </x:c>
      <x:c r="S33" s="108" t="str"/>
      <x:c r="T33" s="108" t="str"/>
      <x:c r="U33" s="108" t="str">
        <x:v>3xKBbA2CT9mfby2$MODnzM</x:v>
      </x:c>
      <x:c r="V33" s="108" t="str">
        <x:v>IFC-FORMAL-001</x:v>
      </x:c>
      <x:c r="W33" s="108" t="str">
        <x:v>IfcRelFillsElement + IfcRelVoidsElement + nominal size/opening geometry</x:v>
      </x:c>
      <x:c r="X33" s="108" t="str">
        <x:v>1.00</x:v>
      </x:c>
      <x:c r="Y33" s="108" t="str">
        <x:v>no</x:v>
      </x:c>
      <x:c r="Z33" s="108" t="str">
        <x:v>a104</x:v>
      </x:c>
      <x:c r="AA33" s="108" t="str">
        <x:v>M04</x:v>
      </x:c>
      <x:c r="AB33" s="108" t="str"/>
    </x:row>
    <x:row r="34" ht="34" customHeight="1">
      <x:c r="A34" s="108" t="str">
        <x:v>DW-M05</x:v>
      </x:c>
      <x:c r="B34" s="108" t="str">
        <x:v>DOOR_WINDOW</x:v>
      </x:c>
      <x:c r="C34" s="108" t="str">
        <x:v>IfcDoor</x:v>
      </x:c>
      <x:c r="D34" s="108" t="str">
        <x:v>M05 · Rimadesio Sail 格栅门板</x:v>
      </x:c>
      <x:c r="E34" s="108" t="str"/>
      <x:c r="F34" s="108" t="str"/>
      <x:c r="G34" s="108" t="str"/>
      <x:c r="H34" s="108" t="str">
        <x:v>1</x:v>
      </x:c>
      <x:c r="I34" s="108" t="str">
        <x:v>not_selected</x:v>
      </x:c>
      <x:c r="J34" s="108" t="str">
        <x:v>ifc_observed</x:v>
      </x:c>
      <x:c r="K34" s="108" t="str"/>
      <x:c r="L34" s="108" t="str">
        <x:v>主卧入口; 次卧</x:v>
      </x:c>
      <x:c r="M34" s="108" t="str"/>
      <x:c r="N34" s="108" t="str"/>
      <x:c r="O34" s="108" t="str">
        <x:v>yes</x:v>
      </x:c>
      <x:c r="P34" s="108" t="str">
        <x:v>global_id</x:v>
      </x:c>
      <x:c r="Q34" s="108" t="str">
        <x:v>2D5BPoo2XFSvhTdfPenCh7</x:v>
      </x:c>
      <x:c r="R34" s="108" t="str">
        <x:v>IfcDoor</x:v>
      </x:c>
      <x:c r="S34" s="108" t="str"/>
      <x:c r="T34" s="108" t="str"/>
      <x:c r="U34" s="108" t="str">
        <x:v>2D5BPoo2XFSvhTdfPenCh7</x:v>
      </x:c>
      <x:c r="V34" s="108" t="str">
        <x:v>IFC-FORMAL-001</x:v>
      </x:c>
      <x:c r="W34" s="108" t="str">
        <x:v>product world geometry + spatial container only; no host inferred</x:v>
      </x:c>
      <x:c r="X34" s="108" t="str">
        <x:v>1.00</x:v>
      </x:c>
      <x:c r="Y34" s="108" t="str">
        <x:v>no</x:v>
      </x:c>
      <x:c r="Z34" s="108" t="str">
        <x:v>a104</x:v>
      </x:c>
      <x:c r="AA34" s="108" t="str">
        <x:v>M05</x:v>
      </x:c>
      <x:c r="AB34" s="108" t="str"/>
    </x:row>
    <x:row r="35" ht="34" customHeight="1">
      <x:c r="A35" s="108" t="str">
        <x:v>DW-M06</x:v>
      </x:c>
      <x:c r="B35" s="108" t="str">
        <x:v>DOOR_WINDOW</x:v>
      </x:c>
      <x:c r="C35" s="108" t="str">
        <x:v>IfcDoor</x:v>
      </x:c>
      <x:c r="D35" s="108" t="str">
        <x:v>M06 · Rimadesio Sail 轨道</x:v>
      </x:c>
      <x:c r="E35" s="108" t="str"/>
      <x:c r="F35" s="108" t="str"/>
      <x:c r="G35" s="108" t="str"/>
      <x:c r="H35" s="108" t="str">
        <x:v>1</x:v>
      </x:c>
      <x:c r="I35" s="108" t="str">
        <x:v>not_selected</x:v>
      </x:c>
      <x:c r="J35" s="108" t="str">
        <x:v>ifc_observed</x:v>
      </x:c>
      <x:c r="K35" s="108" t="str"/>
      <x:c r="L35" s="108" t="str">
        <x:v>主卧入口; 次卧</x:v>
      </x:c>
      <x:c r="M35" s="108" t="str"/>
      <x:c r="N35" s="108" t="str"/>
      <x:c r="O35" s="108" t="str">
        <x:v>yes</x:v>
      </x:c>
      <x:c r="P35" s="108" t="str">
        <x:v>global_id</x:v>
      </x:c>
      <x:c r="Q35" s="108" t="str">
        <x:v>0zjVS5FBbBewgUkk0fdfiv</x:v>
      </x:c>
      <x:c r="R35" s="108" t="str">
        <x:v>IfcDoor</x:v>
      </x:c>
      <x:c r="S35" s="108" t="str"/>
      <x:c r="T35" s="108" t="str"/>
      <x:c r="U35" s="108" t="str">
        <x:v>0zjVS5FBbBewgUkk0fdfiv</x:v>
      </x:c>
      <x:c r="V35" s="108" t="str">
        <x:v>IFC-FORMAL-001</x:v>
      </x:c>
      <x:c r="W35" s="108" t="str">
        <x:v>product world geometry + spatial container only; no host inferred</x:v>
      </x:c>
      <x:c r="X35" s="108" t="str">
        <x:v>1.00</x:v>
      </x:c>
      <x:c r="Y35" s="108" t="str">
        <x:v>no</x:v>
      </x:c>
      <x:c r="Z35" s="108" t="str">
        <x:v>a104</x:v>
      </x:c>
      <x:c r="AA35" s="108" t="str">
        <x:v>M06</x:v>
      </x:c>
      <x:c r="AB35" s="108" t="str"/>
    </x:row>
    <x:row r="36" ht="34" customHeight="1">
      <x:c r="A36" s="108" t="str">
        <x:v>DW-M07</x:v>
      </x:c>
      <x:c r="B36" s="108" t="str">
        <x:v>DOOR_WINDOW</x:v>
      </x:c>
      <x:c r="C36" s="108" t="str">
        <x:v>IfcDoor</x:v>
      </x:c>
      <x:c r="D36" s="108" t="str">
        <x:v>M07 · 主卧门</x:v>
      </x:c>
      <x:c r="E36" s="108" t="str"/>
      <x:c r="F36" s="108" t="str"/>
      <x:c r="G36" s="108" t="str"/>
      <x:c r="H36" s="108" t="str">
        <x:v>1</x:v>
      </x:c>
      <x:c r="I36" s="108" t="str">
        <x:v>not_selected</x:v>
      </x:c>
      <x:c r="J36" s="108" t="str">
        <x:v>ifc_observed</x:v>
      </x:c>
      <x:c r="K36" s="108" t="str"/>
      <x:c r="L36" s="108" t="str">
        <x:v>主卧入口</x:v>
      </x:c>
      <x:c r="M36" s="108" t="str"/>
      <x:c r="N36" s="108" t="str"/>
      <x:c r="O36" s="108" t="str">
        <x:v>yes</x:v>
      </x:c>
      <x:c r="P36" s="108" t="str">
        <x:v>global_id</x:v>
      </x:c>
      <x:c r="Q36" s="108" t="str">
        <x:v>1TW6$_GfnABRZusYvx0zZG</x:v>
      </x:c>
      <x:c r="R36" s="108" t="str">
        <x:v>IfcDoor</x:v>
      </x:c>
      <x:c r="S36" s="108" t="str"/>
      <x:c r="T36" s="108" t="str"/>
      <x:c r="U36" s="108" t="str">
        <x:v>1TW6$_GfnABRZusYvx0zZG</x:v>
      </x:c>
      <x:c r="V36" s="108" t="str">
        <x:v>IFC-FORMAL-001</x:v>
      </x:c>
      <x:c r="W36" s="108" t="str">
        <x:v>product world geometry + spatial container only; no host inferred</x:v>
      </x:c>
      <x:c r="X36" s="108" t="str">
        <x:v>1.00</x:v>
      </x:c>
      <x:c r="Y36" s="108" t="str">
        <x:v>yes</x:v>
      </x:c>
      <x:c r="Z36" s="108" t="str">
        <x:v>a104</x:v>
      </x:c>
      <x:c r="AA36" s="108" t="str">
        <x:v>M07</x:v>
      </x:c>
      <x:c r="AB36" s="108" t="str">
        <x:v>M07 主卧门缺少宿主洞口且 OperationType=NOTDEFINED；Master A 仅为暂定优选、仍待取证，须依据官方 CAD、门表或现场开门照片确认合页侧、开启方向和门后占墙后再关闭 E-302。</x:v>
      </x:c>
    </x:row>
    <x:row r="37" ht="34" customHeight="1">
      <x:c r="A37" s="108" t="str">
        <x:v>DW-M08</x:v>
      </x:c>
      <x:c r="B37" s="108" t="str">
        <x:v>DOOR_WINDOW</x:v>
      </x:c>
      <x:c r="C37" s="108" t="str">
        <x:v>IfcDoor</x:v>
      </x:c>
      <x:c r="D37" s="108" t="str">
        <x:v>M08 · Door</x:v>
      </x:c>
      <x:c r="E37" s="108" t="str"/>
      <x:c r="F37" s="108" t="str"/>
      <x:c r="G37" s="108" t="str"/>
      <x:c r="H37" s="108" t="str">
        <x:v>1</x:v>
      </x:c>
      <x:c r="I37" s="108" t="str">
        <x:v>not_selected</x:v>
      </x:c>
      <x:c r="J37" s="108" t="str">
        <x:v>ifc_observed</x:v>
      </x:c>
      <x:c r="K37" s="108" t="str"/>
      <x:c r="L37" s="108" t="str">
        <x:v>玄关</x:v>
      </x:c>
      <x:c r="M37" s="108" t="str"/>
      <x:c r="N37" s="108" t="str"/>
      <x:c r="O37" s="108" t="str">
        <x:v>yes</x:v>
      </x:c>
      <x:c r="P37" s="108" t="str">
        <x:v>global_id</x:v>
      </x:c>
      <x:c r="Q37" s="108" t="str">
        <x:v>2dxcvMre5F6fk90OTXSFJH</x:v>
      </x:c>
      <x:c r="R37" s="108" t="str">
        <x:v>IfcDoor</x:v>
      </x:c>
      <x:c r="S37" s="108" t="str"/>
      <x:c r="T37" s="108" t="str"/>
      <x:c r="U37" s="108" t="str">
        <x:v>2dxcvMre5F6fk90OTXSFJH</x:v>
      </x:c>
      <x:c r="V37" s="108" t="str">
        <x:v>IFC-FORMAL-001</x:v>
      </x:c>
      <x:c r="W37" s="108" t="str">
        <x:v>IfcRelFillsElement + IfcRelVoidsElement + nominal size/opening geometry</x:v>
      </x:c>
      <x:c r="X37" s="108" t="str">
        <x:v>1.00</x:v>
      </x:c>
      <x:c r="Y37" s="108" t="str">
        <x:v>no</x:v>
      </x:c>
      <x:c r="Z37" s="108" t="str">
        <x:v>a104</x:v>
      </x:c>
      <x:c r="AA37" s="108" t="str">
        <x:v>M08</x:v>
      </x:c>
      <x:c r="AB37" s="108" t="str"/>
    </x:row>
    <x:row r="38" ht="34" customHeight="1">
      <x:c r="A38" s="108" t="str">
        <x:v>DW-W01</x:v>
      </x:c>
      <x:c r="B38" s="108" t="str">
        <x:v>DOOR_WINDOW</x:v>
      </x:c>
      <x:c r="C38" s="108" t="str">
        <x:v>IfcWindow</x:v>
      </x:c>
      <x:c r="D38" s="108" t="str">
        <x:v>W01 · Window.003</x:v>
      </x:c>
      <x:c r="E38" s="108" t="str"/>
      <x:c r="F38" s="108" t="str"/>
      <x:c r="G38" s="108" t="str"/>
      <x:c r="H38" s="108" t="str">
        <x:v>1</x:v>
      </x:c>
      <x:c r="I38" s="108" t="str">
        <x:v>not_selected</x:v>
      </x:c>
      <x:c r="J38" s="108" t="str">
        <x:v>ifc_observed</x:v>
      </x:c>
      <x:c r="K38" s="108" t="str"/>
      <x:c r="L38" s="108" t="str">
        <x:v>客卫飘窗</x:v>
      </x:c>
      <x:c r="M38" s="108" t="str"/>
      <x:c r="N38" s="108" t="str"/>
      <x:c r="O38" s="108" t="str">
        <x:v>yes</x:v>
      </x:c>
      <x:c r="P38" s="108" t="str">
        <x:v>global_id</x:v>
      </x:c>
      <x:c r="Q38" s="108" t="str">
        <x:v>2lLDddG5f06Q_oQZwIEaZ8</x:v>
      </x:c>
      <x:c r="R38" s="108" t="str">
        <x:v>IfcWindow</x:v>
      </x:c>
      <x:c r="S38" s="108" t="str"/>
      <x:c r="T38" s="108" t="str"/>
      <x:c r="U38" s="108" t="str">
        <x:v>2lLDddG5f06Q_oQZwIEaZ8</x:v>
      </x:c>
      <x:c r="V38" s="108" t="str">
        <x:v>IFC-FORMAL-001</x:v>
      </x:c>
      <x:c r="W38" s="108" t="str">
        <x:v>IfcRelFillsElement + IfcRelVoidsElement + nominal size/opening geometry</x:v>
      </x:c>
      <x:c r="X38" s="108" t="str">
        <x:v>1.00</x:v>
      </x:c>
      <x:c r="Y38" s="108" t="str">
        <x:v>no</x:v>
      </x:c>
      <x:c r="Z38" s="108" t="str">
        <x:v>a104</x:v>
      </x:c>
      <x:c r="AA38" s="108" t="str">
        <x:v>W01</x:v>
      </x:c>
      <x:c r="AB38" s="108" t="str"/>
    </x:row>
    <x:row r="39" ht="34" customHeight="1">
      <x:c r="A39" s="108" t="str">
        <x:v>DW-W02</x:v>
      </x:c>
      <x:c r="B39" s="108" t="str">
        <x:v>DOOR_WINDOW</x:v>
      </x:c>
      <x:c r="C39" s="108" t="str">
        <x:v>IfcWindow</x:v>
      </x:c>
      <x:c r="D39" s="108" t="str">
        <x:v>W02 · Window.008</x:v>
      </x:c>
      <x:c r="E39" s="108" t="str"/>
      <x:c r="F39" s="108" t="str"/>
      <x:c r="G39" s="108" t="str"/>
      <x:c r="H39" s="108" t="str">
        <x:v>1</x:v>
      </x:c>
      <x:c r="I39" s="108" t="str">
        <x:v>not_selected</x:v>
      </x:c>
      <x:c r="J39" s="108" t="str">
        <x:v>ifc_observed</x:v>
      </x:c>
      <x:c r="K39" s="108" t="str"/>
      <x:c r="L39" s="108" t="str">
        <x:v>次卧飘窗</x:v>
      </x:c>
      <x:c r="M39" s="108" t="str"/>
      <x:c r="N39" s="108" t="str"/>
      <x:c r="O39" s="108" t="str">
        <x:v>yes</x:v>
      </x:c>
      <x:c r="P39" s="108" t="str">
        <x:v>global_id</x:v>
      </x:c>
      <x:c r="Q39" s="108" t="str">
        <x:v>2nisU4bAr9MfEP9b7LwE2g</x:v>
      </x:c>
      <x:c r="R39" s="108" t="str">
        <x:v>IfcWindow</x:v>
      </x:c>
      <x:c r="S39" s="108" t="str"/>
      <x:c r="T39" s="108" t="str"/>
      <x:c r="U39" s="108" t="str">
        <x:v>2nisU4bAr9MfEP9b7LwE2g</x:v>
      </x:c>
      <x:c r="V39" s="108" t="str">
        <x:v>IFC-FORMAL-001</x:v>
      </x:c>
      <x:c r="W39" s="108" t="str">
        <x:v>IfcRelFillsElement + IfcRelVoidsElement + nominal size/opening geometry</x:v>
      </x:c>
      <x:c r="X39" s="108" t="str">
        <x:v>1.00</x:v>
      </x:c>
      <x:c r="Y39" s="108" t="str">
        <x:v>no</x:v>
      </x:c>
      <x:c r="Z39" s="108" t="str">
        <x:v>a104</x:v>
      </x:c>
      <x:c r="AA39" s="108" t="str">
        <x:v>W02</x:v>
      </x:c>
      <x:c r="AB39" s="108" t="str"/>
    </x:row>
    <x:row r="40" ht="34" customHeight="1">
      <x:c r="A40" s="108" t="str">
        <x:v>DW-W03</x:v>
      </x:c>
      <x:c r="B40" s="108" t="str">
        <x:v>DOOR_WINDOW</x:v>
      </x:c>
      <x:c r="C40" s="108" t="str">
        <x:v>IfcWindow</x:v>
      </x:c>
      <x:c r="D40" s="108" t="str">
        <x:v>W03 · Window.011</x:v>
      </x:c>
      <x:c r="E40" s="108" t="str"/>
      <x:c r="F40" s="108" t="str"/>
      <x:c r="G40" s="108" t="str"/>
      <x:c r="H40" s="108" t="str">
        <x:v>1</x:v>
      </x:c>
      <x:c r="I40" s="108" t="str">
        <x:v>not_selected</x:v>
      </x:c>
      <x:c r="J40" s="108" t="str">
        <x:v>ifc_observed</x:v>
      </x:c>
      <x:c r="K40" s="108" t="str"/>
      <x:c r="L40" s="108" t="str">
        <x:v>次卧飘窗</x:v>
      </x:c>
      <x:c r="M40" s="108" t="str"/>
      <x:c r="N40" s="108" t="str"/>
      <x:c r="O40" s="108" t="str">
        <x:v>yes</x:v>
      </x:c>
      <x:c r="P40" s="108" t="str">
        <x:v>global_id</x:v>
      </x:c>
      <x:c r="Q40" s="108" t="str">
        <x:v>0sj5O$jhz2Huyt2vHf63WK</x:v>
      </x:c>
      <x:c r="R40" s="108" t="str">
        <x:v>IfcWindow</x:v>
      </x:c>
      <x:c r="S40" s="108" t="str"/>
      <x:c r="T40" s="108" t="str"/>
      <x:c r="U40" s="108" t="str">
        <x:v>0sj5O$jhz2Huyt2vHf63WK</x:v>
      </x:c>
      <x:c r="V40" s="108" t="str">
        <x:v>IFC-FORMAL-001</x:v>
      </x:c>
      <x:c r="W40" s="108" t="str">
        <x:v>IfcRelFillsElement + IfcRelVoidsElement + nominal size/opening geometry</x:v>
      </x:c>
      <x:c r="X40" s="108" t="str">
        <x:v>1.00</x:v>
      </x:c>
      <x:c r="Y40" s="108" t="str">
        <x:v>no</x:v>
      </x:c>
      <x:c r="Z40" s="108" t="str">
        <x:v>a104</x:v>
      </x:c>
      <x:c r="AA40" s="108" t="str">
        <x:v>W03</x:v>
      </x:c>
      <x:c r="AB40" s="108" t="str"/>
    </x:row>
    <x:row r="41" ht="34" customHeight="1">
      <x:c r="A41" s="108" t="str">
        <x:v>DW-W04</x:v>
      </x:c>
      <x:c r="B41" s="108" t="str">
        <x:v>DOOR_WINDOW</x:v>
      </x:c>
      <x:c r="C41" s="108" t="str">
        <x:v>IfcWindow</x:v>
      </x:c>
      <x:c r="D41" s="108" t="str">
        <x:v>W04 · Window</x:v>
      </x:c>
      <x:c r="E41" s="108" t="str"/>
      <x:c r="F41" s="108" t="str"/>
      <x:c r="G41" s="108" t="str"/>
      <x:c r="H41" s="108" t="str">
        <x:v>1</x:v>
      </x:c>
      <x:c r="I41" s="108" t="str">
        <x:v>not_selected</x:v>
      </x:c>
      <x:c r="J41" s="108" t="str">
        <x:v>ifc_observed</x:v>
      </x:c>
      <x:c r="K41" s="108" t="str"/>
      <x:c r="L41" s="108" t="str">
        <x:v>书房飘窗</x:v>
      </x:c>
      <x:c r="M41" s="108" t="str"/>
      <x:c r="N41" s="108" t="str"/>
      <x:c r="O41" s="108" t="str">
        <x:v>yes</x:v>
      </x:c>
      <x:c r="P41" s="108" t="str">
        <x:v>global_id</x:v>
      </x:c>
      <x:c r="Q41" s="108" t="str">
        <x:v>137J_TtpvDY9ZtjaOlzqN6</x:v>
      </x:c>
      <x:c r="R41" s="108" t="str">
        <x:v>IfcWindow</x:v>
      </x:c>
      <x:c r="S41" s="108" t="str"/>
      <x:c r="T41" s="108" t="str"/>
      <x:c r="U41" s="108" t="str">
        <x:v>137J_TtpvDY9ZtjaOlzqN6</x:v>
      </x:c>
      <x:c r="V41" s="108" t="str">
        <x:v>IFC-FORMAL-001</x:v>
      </x:c>
      <x:c r="W41" s="108" t="str">
        <x:v>IfcRelFillsElement + IfcRelVoidsElement + nominal size/opening geometry</x:v>
      </x:c>
      <x:c r="X41" s="108" t="str">
        <x:v>1.00</x:v>
      </x:c>
      <x:c r="Y41" s="108" t="str">
        <x:v>no</x:v>
      </x:c>
      <x:c r="Z41" s="108" t="str">
        <x:v>a104</x:v>
      </x:c>
      <x:c r="AA41" s="108" t="str">
        <x:v>W04</x:v>
      </x:c>
      <x:c r="AB41" s="108" t="str"/>
    </x:row>
    <x:row r="42" ht="34" customHeight="1">
      <x:c r="A42" s="108" t="str">
        <x:v>DW-W05</x:v>
      </x:c>
      <x:c r="B42" s="108" t="str">
        <x:v>DOOR_WINDOW</x:v>
      </x:c>
      <x:c r="C42" s="108" t="str">
        <x:v>IfcWindow</x:v>
      </x:c>
      <x:c r="D42" s="108" t="str">
        <x:v>W05 · Window.002</x:v>
      </x:c>
      <x:c r="E42" s="108" t="str"/>
      <x:c r="F42" s="108" t="str"/>
      <x:c r="G42" s="108" t="str"/>
      <x:c r="H42" s="108" t="str">
        <x:v>1</x:v>
      </x:c>
      <x:c r="I42" s="108" t="str">
        <x:v>not_selected</x:v>
      </x:c>
      <x:c r="J42" s="108" t="str">
        <x:v>ifc_observed</x:v>
      </x:c>
      <x:c r="K42" s="108" t="str"/>
      <x:c r="L42" s="108" t="str">
        <x:v>主卫湿区飘窗</x:v>
      </x:c>
      <x:c r="M42" s="108" t="str"/>
      <x:c r="N42" s="108" t="str"/>
      <x:c r="O42" s="108" t="str">
        <x:v>yes</x:v>
      </x:c>
      <x:c r="P42" s="108" t="str">
        <x:v>global_id</x:v>
      </x:c>
      <x:c r="Q42" s="108" t="str">
        <x:v>2dOhpqsXX1VP_tLBFGpjmu</x:v>
      </x:c>
      <x:c r="R42" s="108" t="str">
        <x:v>IfcWindow</x:v>
      </x:c>
      <x:c r="S42" s="108" t="str"/>
      <x:c r="T42" s="108" t="str"/>
      <x:c r="U42" s="108" t="str">
        <x:v>2dOhpqsXX1VP_tLBFGpjmu</x:v>
      </x:c>
      <x:c r="V42" s="108" t="str">
        <x:v>IFC-FORMAL-001</x:v>
      </x:c>
      <x:c r="W42" s="108" t="str">
        <x:v>IfcRelFillsElement + IfcRelVoidsElement + nominal size/opening geometry</x:v>
      </x:c>
      <x:c r="X42" s="108" t="str">
        <x:v>1.00</x:v>
      </x:c>
      <x:c r="Y42" s="108" t="str">
        <x:v>no</x:v>
      </x:c>
      <x:c r="Z42" s="108" t="str">
        <x:v>a104</x:v>
      </x:c>
      <x:c r="AA42" s="108" t="str">
        <x:v>W05</x:v>
      </x:c>
      <x:c r="AB42" s="108" t="str"/>
    </x:row>
    <x:row r="43" ht="34" customHeight="1">
      <x:c r="A43" s="108" t="str">
        <x:v>DW-W06</x:v>
      </x:c>
      <x:c r="B43" s="108" t="str">
        <x:v>DOOR_WINDOW</x:v>
      </x:c>
      <x:c r="C43" s="108" t="str">
        <x:v>IfcWindow</x:v>
      </x:c>
      <x:c r="D43" s="108" t="str">
        <x:v>W06 · Window.010</x:v>
      </x:c>
      <x:c r="E43" s="108" t="str"/>
      <x:c r="F43" s="108" t="str"/>
      <x:c r="G43" s="108" t="str"/>
      <x:c r="H43" s="108" t="str">
        <x:v>1</x:v>
      </x:c>
      <x:c r="I43" s="108" t="str">
        <x:v>not_selected</x:v>
      </x:c>
      <x:c r="J43" s="108" t="str">
        <x:v>ifc_observed</x:v>
      </x:c>
      <x:c r="K43" s="108" t="str"/>
      <x:c r="L43" s="108" t="str">
        <x:v>主卧飘窗</x:v>
      </x:c>
      <x:c r="M43" s="108" t="str"/>
      <x:c r="N43" s="108" t="str"/>
      <x:c r="O43" s="108" t="str">
        <x:v>yes</x:v>
      </x:c>
      <x:c r="P43" s="108" t="str">
        <x:v>global_id</x:v>
      </x:c>
      <x:c r="Q43" s="108" t="str">
        <x:v>3tH7BX5UbF2uE6eYlcKELR</x:v>
      </x:c>
      <x:c r="R43" s="108" t="str">
        <x:v>IfcWindow</x:v>
      </x:c>
      <x:c r="S43" s="108" t="str"/>
      <x:c r="T43" s="108" t="str"/>
      <x:c r="U43" s="108" t="str">
        <x:v>3tH7BX5UbF2uE6eYlcKELR</x:v>
      </x:c>
      <x:c r="V43" s="108" t="str">
        <x:v>IFC-FORMAL-001</x:v>
      </x:c>
      <x:c r="W43" s="108" t="str">
        <x:v>IfcRelFillsElement + IfcRelVoidsElement + nominal size/opening geometry</x:v>
      </x:c>
      <x:c r="X43" s="108" t="str">
        <x:v>1.00</x:v>
      </x:c>
      <x:c r="Y43" s="108" t="str">
        <x:v>no</x:v>
      </x:c>
      <x:c r="Z43" s="108" t="str">
        <x:v>a104</x:v>
      </x:c>
      <x:c r="AA43" s="108" t="str">
        <x:v>W06</x:v>
      </x:c>
      <x:c r="AB43" s="108" t="str"/>
    </x:row>
    <x:row r="44" ht="34" customHeight="1">
      <x:c r="A44" s="108" t="str">
        <x:v>DW-W07</x:v>
      </x:c>
      <x:c r="B44" s="108" t="str">
        <x:v>DOOR_WINDOW</x:v>
      </x:c>
      <x:c r="C44" s="108" t="str">
        <x:v>IfcWindow</x:v>
      </x:c>
      <x:c r="D44" s="108" t="str">
        <x:v>W07 · Window.009</x:v>
      </x:c>
      <x:c r="E44" s="108" t="str"/>
      <x:c r="F44" s="108" t="str"/>
      <x:c r="G44" s="108" t="str"/>
      <x:c r="H44" s="108" t="str">
        <x:v>1</x:v>
      </x:c>
      <x:c r="I44" s="108" t="str">
        <x:v>not_selected</x:v>
      </x:c>
      <x:c r="J44" s="108" t="str">
        <x:v>ifc_observed</x:v>
      </x:c>
      <x:c r="K44" s="108" t="str"/>
      <x:c r="L44" s="108" t="str">
        <x:v>主卧飘窗</x:v>
      </x:c>
      <x:c r="M44" s="108" t="str"/>
      <x:c r="N44" s="108" t="str"/>
      <x:c r="O44" s="108" t="str">
        <x:v>yes</x:v>
      </x:c>
      <x:c r="P44" s="108" t="str">
        <x:v>global_id</x:v>
      </x:c>
      <x:c r="Q44" s="108" t="str">
        <x:v>3PzBz6aub8V8l6xG$qanOV</x:v>
      </x:c>
      <x:c r="R44" s="108" t="str">
        <x:v>IfcWindow</x:v>
      </x:c>
      <x:c r="S44" s="108" t="str"/>
      <x:c r="T44" s="108" t="str"/>
      <x:c r="U44" s="108" t="str">
        <x:v>3PzBz6aub8V8l6xG$qanOV</x:v>
      </x:c>
      <x:c r="V44" s="108" t="str">
        <x:v>IFC-FORMAL-001</x:v>
      </x:c>
      <x:c r="W44" s="108" t="str">
        <x:v>IfcRelFillsElement + IfcRelVoidsElement + nominal size/opening geometry</x:v>
      </x:c>
      <x:c r="X44" s="108" t="str">
        <x:v>1.00</x:v>
      </x:c>
      <x:c r="Y44" s="108" t="str">
        <x:v>no</x:v>
      </x:c>
      <x:c r="Z44" s="108" t="str">
        <x:v>a104</x:v>
      </x:c>
      <x:c r="AA44" s="108" t="str">
        <x:v>W07</x:v>
      </x:c>
      <x:c r="AB44" s="108" t="str"/>
    </x:row>
    <x:row r="45" ht="34" customHeight="1">
      <x:c r="A45" s="108" t="str">
        <x:v>DW-W08</x:v>
      </x:c>
      <x:c r="B45" s="108" t="str">
        <x:v>DOOR_WINDOW</x:v>
      </x:c>
      <x:c r="C45" s="108" t="str">
        <x:v>IfcWindow</x:v>
      </x:c>
      <x:c r="D45" s="108" t="str">
        <x:v>W08 · Window</x:v>
      </x:c>
      <x:c r="E45" s="108" t="str"/>
      <x:c r="F45" s="108" t="str"/>
      <x:c r="G45" s="108" t="str"/>
      <x:c r="H45" s="108" t="str">
        <x:v>1</x:v>
      </x:c>
      <x:c r="I45" s="108" t="str">
        <x:v>not_selected</x:v>
      </x:c>
      <x:c r="J45" s="108" t="str">
        <x:v>ifc_observed</x:v>
      </x:c>
      <x:c r="K45" s="108" t="str"/>
      <x:c r="L45" s="108" t="str">
        <x:v>主卧飘窗</x:v>
      </x:c>
      <x:c r="M45" s="108" t="str"/>
      <x:c r="N45" s="108" t="str"/>
      <x:c r="O45" s="108" t="str">
        <x:v>yes</x:v>
      </x:c>
      <x:c r="P45" s="108" t="str">
        <x:v>global_id</x:v>
      </x:c>
      <x:c r="Q45" s="108" t="str">
        <x:v>3ttzd3zSL0JA3lLsFDfLiR</x:v>
      </x:c>
      <x:c r="R45" s="108" t="str">
        <x:v>IfcWindow</x:v>
      </x:c>
      <x:c r="S45" s="108" t="str"/>
      <x:c r="T45" s="108" t="str"/>
      <x:c r="U45" s="108" t="str">
        <x:v>3ttzd3zSL0JA3lLsFDfLiR</x:v>
      </x:c>
      <x:c r="V45" s="108" t="str">
        <x:v>IFC-FORMAL-001</x:v>
      </x:c>
      <x:c r="W45" s="108" t="str">
        <x:v>IfcRelFillsElement + IfcRelVoidsElement + nominal size/opening geometry</x:v>
      </x:c>
      <x:c r="X45" s="108" t="str">
        <x:v>1.00</x:v>
      </x:c>
      <x:c r="Y45" s="108" t="str">
        <x:v>no</x:v>
      </x:c>
      <x:c r="Z45" s="108" t="str">
        <x:v>a104</x:v>
      </x:c>
      <x:c r="AA45" s="108" t="str">
        <x:v>W08</x:v>
      </x:c>
      <x:c r="AB45" s="108" t="str"/>
    </x:row>
    <x:row r="46" ht="34" customHeight="1">
      <x:c r="A46" s="108" t="str">
        <x:v>DW-W09</x:v>
      </x:c>
      <x:c r="B46" s="108" t="str">
        <x:v>DOOR_WINDOW</x:v>
      </x:c>
      <x:c r="C46" s="108" t="str">
        <x:v>IfcWindow</x:v>
      </x:c>
      <x:c r="D46" s="108" t="str">
        <x:v>W09 · Window.007</x:v>
      </x:c>
      <x:c r="E46" s="108" t="str"/>
      <x:c r="F46" s="108" t="str"/>
      <x:c r="G46" s="108" t="str"/>
      <x:c r="H46" s="108" t="str">
        <x:v>1</x:v>
      </x:c>
      <x:c r="I46" s="108" t="str">
        <x:v>not_selected</x:v>
      </x:c>
      <x:c r="J46" s="108" t="str">
        <x:v>ifc_observed</x:v>
      </x:c>
      <x:c r="K46" s="108" t="str"/>
      <x:c r="L46" s="108" t="str">
        <x:v>餐厅飘窗</x:v>
      </x:c>
      <x:c r="M46" s="108" t="str"/>
      <x:c r="N46" s="108" t="str"/>
      <x:c r="O46" s="108" t="str">
        <x:v>yes</x:v>
      </x:c>
      <x:c r="P46" s="108" t="str">
        <x:v>global_id</x:v>
      </x:c>
      <x:c r="Q46" s="108" t="str">
        <x:v>1KBBoRNWb1Svpz9__rmYKy</x:v>
      </x:c>
      <x:c r="R46" s="108" t="str">
        <x:v>IfcWindow</x:v>
      </x:c>
      <x:c r="S46" s="108" t="str"/>
      <x:c r="T46" s="108" t="str"/>
      <x:c r="U46" s="108" t="str">
        <x:v>1KBBoRNWb1Svpz9__rmYKy</x:v>
      </x:c>
      <x:c r="V46" s="108" t="str">
        <x:v>IFC-FORMAL-001</x:v>
      </x:c>
      <x:c r="W46" s="108" t="str">
        <x:v>IfcRelFillsElement + IfcRelVoidsElement + nominal size/opening geometry</x:v>
      </x:c>
      <x:c r="X46" s="108" t="str">
        <x:v>1.00</x:v>
      </x:c>
      <x:c r="Y46" s="108" t="str">
        <x:v>no</x:v>
      </x:c>
      <x:c r="Z46" s="108" t="str">
        <x:v>a104</x:v>
      </x:c>
      <x:c r="AA46" s="108" t="str">
        <x:v>W09</x:v>
      </x:c>
      <x:c r="AB46" s="108" t="str"/>
    </x:row>
    <x:row r="47" ht="34" customHeight="1">
      <x:c r="A47" s="108" t="str">
        <x:v>DW-W10</x:v>
      </x:c>
      <x:c r="B47" s="108" t="str">
        <x:v>DOOR_WINDOW</x:v>
      </x:c>
      <x:c r="C47" s="108" t="str">
        <x:v>IfcWindow</x:v>
      </x:c>
      <x:c r="D47" s="108" t="str">
        <x:v>W10 · Window.004</x:v>
      </x:c>
      <x:c r="E47" s="108" t="str"/>
      <x:c r="F47" s="108" t="str"/>
      <x:c r="G47" s="108" t="str"/>
      <x:c r="H47" s="108" t="str">
        <x:v>1</x:v>
      </x:c>
      <x:c r="I47" s="108" t="str">
        <x:v>not_selected</x:v>
      </x:c>
      <x:c r="J47" s="108" t="str">
        <x:v>ifc_observed</x:v>
      </x:c>
      <x:c r="K47" s="108" t="str"/>
      <x:c r="L47" s="108" t="str">
        <x:v>餐厅飘窗</x:v>
      </x:c>
      <x:c r="M47" s="108" t="str"/>
      <x:c r="N47" s="108" t="str"/>
      <x:c r="O47" s="108" t="str">
        <x:v>yes</x:v>
      </x:c>
      <x:c r="P47" s="108" t="str">
        <x:v>global_id</x:v>
      </x:c>
      <x:c r="Q47" s="108" t="str">
        <x:v>1uQsUUwhT9Y8fHZJQtvJqa</x:v>
      </x:c>
      <x:c r="R47" s="108" t="str">
        <x:v>IfcWindow</x:v>
      </x:c>
      <x:c r="S47" s="108" t="str"/>
      <x:c r="T47" s="108" t="str"/>
      <x:c r="U47" s="108" t="str">
        <x:v>1uQsUUwhT9Y8fHZJQtvJqa</x:v>
      </x:c>
      <x:c r="V47" s="108" t="str">
        <x:v>IFC-FORMAL-001</x:v>
      </x:c>
      <x:c r="W47" s="108" t="str">
        <x:v>IfcRelFillsElement + IfcRelVoidsElement + nominal size/opening geometry</x:v>
      </x:c>
      <x:c r="X47" s="108" t="str">
        <x:v>1.00</x:v>
      </x:c>
      <x:c r="Y47" s="108" t="str">
        <x:v>no</x:v>
      </x:c>
      <x:c r="Z47" s="108" t="str">
        <x:v>a104</x:v>
      </x:c>
      <x:c r="AA47" s="108" t="str">
        <x:v>W10</x:v>
      </x:c>
      <x:c r="AB47" s="108" t="str"/>
    </x:row>
    <x:row r="48" ht="34" customHeight="1">
      <x:c r="A48" s="108" t="str">
        <x:v>DW-W11</x:v>
      </x:c>
      <x:c r="B48" s="108" t="str">
        <x:v>DOOR_WINDOW</x:v>
      </x:c>
      <x:c r="C48" s="108" t="str">
        <x:v>IfcWindow</x:v>
      </x:c>
      <x:c r="D48" s="108" t="str">
        <x:v>W11 · Window</x:v>
      </x:c>
      <x:c r="E48" s="108" t="str"/>
      <x:c r="F48" s="108" t="str"/>
      <x:c r="G48" s="108" t="str"/>
      <x:c r="H48" s="108" t="str">
        <x:v>1</x:v>
      </x:c>
      <x:c r="I48" s="108" t="str">
        <x:v>not_selected</x:v>
      </x:c>
      <x:c r="J48" s="108" t="str">
        <x:v>ifc_observed</x:v>
      </x:c>
      <x:c r="K48" s="108" t="str"/>
      <x:c r="L48" s="108" t="str">
        <x:v>中厨飘窗</x:v>
      </x:c>
      <x:c r="M48" s="108" t="str"/>
      <x:c r="N48" s="108" t="str"/>
      <x:c r="O48" s="108" t="str">
        <x:v>yes</x:v>
      </x:c>
      <x:c r="P48" s="108" t="str">
        <x:v>global_id</x:v>
      </x:c>
      <x:c r="Q48" s="108" t="str">
        <x:v>1_4ddWLZ96JQ3X7SvSZrnR</x:v>
      </x:c>
      <x:c r="R48" s="108" t="str">
        <x:v>IfcWindow</x:v>
      </x:c>
      <x:c r="S48" s="108" t="str"/>
      <x:c r="T48" s="108" t="str"/>
      <x:c r="U48" s="108" t="str">
        <x:v>1_4ddWLZ96JQ3X7SvSZrnR</x:v>
      </x:c>
      <x:c r="V48" s="108" t="str">
        <x:v>IFC-FORMAL-001</x:v>
      </x:c>
      <x:c r="W48" s="108" t="str">
        <x:v>IfcRelFillsElement + IfcRelVoidsElement + nominal size/opening geometry</x:v>
      </x:c>
      <x:c r="X48" s="108" t="str">
        <x:v>1.00</x:v>
      </x:c>
      <x:c r="Y48" s="108" t="str">
        <x:v>no</x:v>
      </x:c>
      <x:c r="Z48" s="108" t="str">
        <x:v>a104</x:v>
      </x:c>
      <x:c r="AA48" s="108" t="str">
        <x:v>W11</x:v>
      </x:c>
      <x:c r="AB48" s="108" t="str"/>
    </x:row>
    <x:row r="49" ht="34" customHeight="1">
      <x:c r="A49" s="108" t="str">
        <x:v>HVAC-001</x:v>
      </x:c>
      <x:c r="B49" s="108" t="str">
        <x:v>HVAC</x:v>
      </x:c>
      <x:c r="C49" s="108" t="str">
        <x:v>ducted_indoor_unit</x:v>
      </x:c>
      <x:c r="D49" s="108" t="str">
        <x:v>A02; A03</x:v>
      </x:c>
      <x:c r="E49" s="108" t="str">
        <x:v>日立/海信日立</x:v>
      </x:c>
      <x:c r="F49" s="108" t="str">
        <x:v>RPIZ-22FSLN5QDF/P 700x447x192</x:v>
      </x:c>
      <x:c r="G49" s="108" t="str">
        <x:v>18-50</x:v>
      </x:c>
      <x:c r="H49" s="108" t="str">
        <x:v>2</x:v>
      </x:c>
      <x:c r="I49" s="108" t="str">
        <x:v>candidate</x:v>
      </x:c>
      <x:c r="J49" s="108" t="str">
        <x:v>candidate</x:v>
      </x:c>
      <x:c r="K49" s="108" t="str"/>
      <x:c r="L49" s="108" t="str">
        <x:v>吊顶内</x:v>
      </x:c>
      <x:c r="M49" s="108" t="str"/>
      <x:c r="N49" s="108" t="str"/>
      <x:c r="O49" s="108" t="str">
        <x:v>yes</x:v>
      </x:c>
      <x:c r="P49" s="108" t="str">
        <x:v>ifc_type_global_id</x:v>
      </x:c>
      <x:c r="Q49" s="108" t="str">
        <x:v>10_Arew0nAGOoYjFDTyzcn</x:v>
      </x:c>
      <x:c r="R49" s="108" t="str">
        <x:v>IfcElectricAppliance</x:v>
      </x:c>
      <x:c r="S49" s="108" t="str">
        <x:v>AC700F</x:v>
      </x:c>
      <x:c r="T49" s="108" t="str">
        <x:v>10_Arew0nAGOoYjFDTyzcn</x:v>
      </x:c>
      <x:c r="U49" s="108" t="str">
        <x:v>1QBdVekDnBsOleyo9PM6rT; 06GpMzzWj1XQobAhD35cgU</x:v>
      </x:c>
      <x:c r="V49" s="108" t="str">
        <x:v>RCP1-HVAC-IFACE-001</x:v>
      </x:c>
      <x:c r="W49" s="108" t="str">
        <x:v>型号在封面范围内；第3页给出机体/吊装尺寸；第5页给出接管侧与18–50容量段气管φ12.7 mm、液管φ6.35 mm；第6页给出外径32 mm PVC排水与1/25–1/100坡度</x:v>
      </x:c>
      <x:c r="X49" s="108" t="str">
        <x:v>0.90</x:v>
      </x:c>
      <x:c r="Y49" s="108" t="str">
        <x:v>yes</x:v>
      </x:c>
      <x:c r="Z49" s="108" t="str">
        <x:v>hvac_interface</x:v>
      </x:c>
      <x:c r="AA49" s="108" t="str">
        <x:v>RCP1-HVAC-IFACE-001</x:v>
      </x:c>
      <x:c r="AB49" s="108" t="str">
        <x:v>设备局部+X端面只作综合服务路线的接管侧候选；不得把端面中心当作三个独立厂家端口</x:v>
      </x:c>
    </x:row>
    <x:row r="50" ht="34" customHeight="1">
      <x:c r="A50" s="108" t="str">
        <x:v>HVAC-002</x:v>
      </x:c>
      <x:c r="B50" s="108" t="str">
        <x:v>HVAC</x:v>
      </x:c>
      <x:c r="C50" s="108" t="str">
        <x:v>ducted_indoor_unit</x:v>
      </x:c>
      <x:c r="D50" s="108" t="str">
        <x:v>A01; A04</x:v>
      </x:c>
      <x:c r="E50" s="108" t="str">
        <x:v>日立/海信日立</x:v>
      </x:c>
      <x:c r="F50" s="108" t="str">
        <x:v>RPIZ-22FSLN5QD/P 700x447x192</x:v>
      </x:c>
      <x:c r="G50" s="108" t="str">
        <x:v>18-50</x:v>
      </x:c>
      <x:c r="H50" s="108" t="str">
        <x:v>2</x:v>
      </x:c>
      <x:c r="I50" s="108" t="str">
        <x:v>candidate</x:v>
      </x:c>
      <x:c r="J50" s="108" t="str">
        <x:v>candidate</x:v>
      </x:c>
      <x:c r="K50" s="108" t="str"/>
      <x:c r="L50" s="108" t="str">
        <x:v>吊顶内</x:v>
      </x:c>
      <x:c r="M50" s="108" t="str"/>
      <x:c r="N50" s="108" t="str"/>
      <x:c r="O50" s="108" t="str">
        <x:v>yes</x:v>
      </x:c>
      <x:c r="P50" s="108" t="str">
        <x:v>ifc_type_global_id</x:v>
      </x:c>
      <x:c r="Q50" s="108" t="str">
        <x:v>2dvNw761v4cgkv5QvrQtre</x:v>
      </x:c>
      <x:c r="R50" s="108" t="str">
        <x:v>IfcElectricAppliance</x:v>
      </x:c>
      <x:c r="S50" s="108" t="str">
        <x:v>AC700</x:v>
      </x:c>
      <x:c r="T50" s="108" t="str">
        <x:v>2dvNw761v4cgkv5QvrQtre</x:v>
      </x:c>
      <x:c r="U50" s="108" t="str">
        <x:v>33chLv3TzEOhKalIJJAPNF; 1PUCikoaP5fgiYt8sJd8$6</x:v>
      </x:c>
      <x:c r="V50" s="108" t="str">
        <x:v>RCP1-HVAC-IFACE-002</x:v>
      </x:c>
      <x:c r="W50" s="108" t="str">
        <x:v>型号在封面范围内；接管侧、18–50容量段冷媒管径及排水要求可作后续接口深化依据</x:v>
      </x:c>
      <x:c r="X50" s="108" t="str">
        <x:v>0.90</x:v>
      </x:c>
      <x:c r="Y50" s="108" t="str">
        <x:v>yes</x:v>
      </x:c>
      <x:c r="Z50" s="108" t="str">
        <x:v>hvac_interface</x:v>
      </x:c>
      <x:c r="AA50" s="108" t="str">
        <x:v>RCP1-HVAC-IFACE-002</x:v>
      </x:c>
      <x:c r="AB50" s="108" t="str">
        <x:v>当前批次未生成A01/A04路线，不自动复制A02/A03控制点</x:v>
      </x:c>
    </x:row>
    <x:row r="51" ht="34" customHeight="1">
      <x:c r="A51" s="108" t="str">
        <x:v>HVAC-003</x:v>
      </x:c>
      <x:c r="B51" s="108" t="str">
        <x:v>HVAC</x:v>
      </x:c>
      <x:c r="C51" s="108" t="str">
        <x:v>ducted_indoor_unit</x:v>
      </x:c>
      <x:c r="D51" s="108" t="str">
        <x:v>A05</x:v>
      </x:c>
      <x:c r="E51" s="108" t="str">
        <x:v>日立/海信日立</x:v>
      </x:c>
      <x:c r="F51" s="108" t="str">
        <x:v>RPIZ-71FSLN5Q/P 1180x447x192</x:v>
      </x:c>
      <x:c r="G51" s="108" t="str">
        <x:v>63-71</x:v>
      </x:c>
      <x:c r="H51" s="108" t="str">
        <x:v>1</x:v>
      </x:c>
      <x:c r="I51" s="108" t="str">
        <x:v>candidate</x:v>
      </x:c>
      <x:c r="J51" s="108" t="str">
        <x:v>candidate</x:v>
      </x:c>
      <x:c r="K51" s="108" t="str"/>
      <x:c r="L51" s="108" t="str">
        <x:v>吊顶内</x:v>
      </x:c>
      <x:c r="M51" s="108" t="str"/>
      <x:c r="N51" s="108" t="str"/>
      <x:c r="O51" s="108" t="str">
        <x:v>yes</x:v>
      </x:c>
      <x:c r="P51" s="108" t="str">
        <x:v>ifc_type_global_id</x:v>
      </x:c>
      <x:c r="Q51" s="108" t="str">
        <x:v>0greWYU5v9BBjuI$1v0flf</x:v>
      </x:c>
      <x:c r="R51" s="108" t="str">
        <x:v>IfcElectricAppliance</x:v>
      </x:c>
      <x:c r="S51" s="108" t="str">
        <x:v>AC1180</x:v>
      </x:c>
      <x:c r="T51" s="108" t="str">
        <x:v>0greWYU5v9BBjuI$1v0flf</x:v>
      </x:c>
      <x:c r="U51" s="108" t="str">
        <x:v>1yW7DASIz8qA$2j8z9tdl2</x:v>
      </x:c>
      <x:c r="V51" s="108" t="str">
        <x:v>RCP1-HVAC-IFACE-003</x:v>
      </x:c>
      <x:c r="W51" s="108" t="str">
        <x:v>尺寸表的50–71容量段为a1220/b1180/c447/d410/h192，但IFC型号文本缺少现有官方资料常见的D，不能视为完全匹配</x:v>
      </x:c>
      <x:c r="X51" s="108" t="str">
        <x:v>0.60</x:v>
      </x:c>
      <x:c r="Y51" s="108" t="str">
        <x:v>yes</x:v>
      </x:c>
      <x:c r="Z51" s="108" t="str">
        <x:v>hvac_interface</x:v>
      </x:c>
      <x:c r="AA51" s="108" t="str">
        <x:v>RCP1-HVAC-IFACE-003</x:v>
      </x:c>
      <x:c r="AB51" s="108" t="str">
        <x:v>不得以相近型号资料替代最终厂家接口、风量、功率或检修要求</x:v>
      </x:c>
    </x:row>
    <x:row r="52" ht="34" customHeight="1">
      <x:c r="A52" s="108" t="str">
        <x:v>HVAC-004</x:v>
      </x:c>
      <x:c r="B52" s="108" t="str">
        <x:v>HVAC</x:v>
      </x:c>
      <x:c r="C52" s="108" t="str">
        <x:v>ducted_indoor_unit</x:v>
      </x:c>
      <x:c r="D52" s="108" t="str">
        <x:v>A06</x:v>
      </x:c>
      <x:c r="E52" s="108" t="str"/>
      <x:c r="F52" s="108" t="str"/>
      <x:c r="G52" s="108" t="str"/>
      <x:c r="H52" s="108" t="str">
        <x:v>1</x:v>
      </x:c>
      <x:c r="I52" s="108" t="str">
        <x:v>candidate</x:v>
      </x:c>
      <x:c r="J52" s="108" t="str">
        <x:v>candidate</x:v>
      </x:c>
      <x:c r="K52" s="108" t="str"/>
      <x:c r="L52" s="108" t="str">
        <x:v>吊顶内</x:v>
      </x:c>
      <x:c r="M52" s="108" t="str"/>
      <x:c r="N52" s="108" t="str"/>
      <x:c r="O52" s="108" t="str">
        <x:v>yes</x:v>
      </x:c>
      <x:c r="P52" s="108" t="str">
        <x:v>logical_input</x:v>
      </x:c>
      <x:c r="Q52" s="108" t="str">
        <x:v>A06</x:v>
      </x:c>
      <x:c r="R52" s="108" t="str"/>
      <x:c r="S52" s="108" t="str"/>
      <x:c r="T52" s="108" t="str"/>
      <x:c r="U52" s="108" t="str"/>
      <x:c r="V52" s="108" t="str">
        <x:v>RCP1-HVAC-IFACE-004</x:v>
      </x:c>
      <x:c r="W52" s="108" t="str">
        <x:v>东侧第6台设备位置已由旧blend与当前三台正式设备平移基准确认，但没有正式GlobalId或设备类型</x:v>
      </x:c>
      <x:c r="X52" s="108" t="str">
        <x:v>0.95</x:v>
      </x:c>
      <x:c r="Y52" s="108" t="str">
        <x:v>yes</x:v>
      </x:c>
      <x:c r="Z52" s="108" t="str">
        <x:v>hvac_interface</x:v>
      </x:c>
      <x:c r="AA52" s="108" t="str">
        <x:v>RCP1-HVAC-IFACE-004</x:v>
      </x:c>
      <x:c r="AB52" s="108" t="str">
        <x:v>机位不是设计备选；补正式IFC身份后才能关联厂家接口模板</x:v>
      </x:c>
    </x:row>
    <x:row r="53" ht="34" customHeight="1">
      <x:c r="A53" s="108" t="str">
        <x:v>ELECIFC-001</x:v>
      </x:c>
      <x:c r="B53" s="108" t="str">
        <x:v>APPLIANCE</x:v>
      </x:c>
      <x:c r="C53" s="108" t="str">
        <x:v>IfcElectricAppliance</x:v>
      </x:c>
      <x:c r="D53" s="108" t="str">
        <x:v>SOCF04</x:v>
      </x:c>
      <x:c r="E53" s="108" t="str"/>
      <x:c r="F53" s="108" t="str">
        <x:v>SOCF04</x:v>
      </x:c>
      <x:c r="G53" s="108" t="str"/>
      <x:c r="H53" s="108" t="str">
        <x:v>3</x:v>
      </x:c>
      <x:c r="I53" s="108" t="str">
        <x:v>existing</x:v>
      </x:c>
      <x:c r="J53" s="108" t="str">
        <x:v>ifc_observed</x:v>
      </x:c>
      <x:c r="K53" s="108" t="str"/>
      <x:c r="L53" s="108" t="str"/>
      <x:c r="M53" s="108" t="str"/>
      <x:c r="N53" s="108" t="str"/>
      <x:c r="O53" s="108" t="str">
        <x:v>no</x:v>
      </x:c>
      <x:c r="P53" s="108" t="str">
        <x:v>ifc_type_global_id</x:v>
      </x:c>
      <x:c r="Q53" s="108" t="str">
        <x:v>0tkshmWOTDCQmPiR4rYvg$</x:v>
      </x:c>
      <x:c r="R53" s="108" t="str">
        <x:v>IfcElectricAppliance</x:v>
      </x:c>
      <x:c r="S53" s="108" t="str">
        <x:v>SOCF04</x:v>
      </x:c>
      <x:c r="T53" s="108" t="str">
        <x:v>0tkshmWOTDCQmPiR4rYvg$</x:v>
      </x:c>
      <x:c r="U53" s="108" t="str">
        <x:v>3Cz0fQK8f54AFcm1SrjsGr;22tO8BAFTDWPLxqXvDzGct;23EqZuJ7zEw8JjKNbjSYrg</x:v>
      </x:c>
      <x:c r="V53" s="108" t="str">
        <x:v>IFC-FORMAL-001</x:v>
      </x:c>
      <x:c r="W53" s="108" t="str">
        <x:v>formal IFC inventory</x:v>
      </x:c>
      <x:c r="X53" s="108" t="str">
        <x:v>1.00</x:v>
      </x:c>
      <x:c r="Y53" s="108" t="str">
        <x:v>yes</x:v>
      </x:c>
      <x:c r="Z53" s="108" t="str">
        <x:v>ifc_inventory</x:v>
      </x:c>
      <x:c r="AA53" s="108" t="str"/>
      <x:c r="AB53" s="108" t="str">
        <x:v>对象已机械纳入覆盖；最终产品与厂家安装条件待确认</x:v>
      </x:c>
    </x:row>
    <x:row r="54" ht="34" customHeight="1">
      <x:c r="A54" s="108" t="str">
        <x:v>ELECIFC-002</x:v>
      </x:c>
      <x:c r="B54" s="108" t="str">
        <x:v>APPLIANCE</x:v>
      </x:c>
      <x:c r="C54" s="108" t="str">
        <x:v>IfcElectricAppliance</x:v>
      </x:c>
      <x:c r="D54" s="108" t="str">
        <x:v>SOC01</x:v>
      </x:c>
      <x:c r="E54" s="108" t="str"/>
      <x:c r="F54" s="108" t="str">
        <x:v>SOC01</x:v>
      </x:c>
      <x:c r="G54" s="108" t="str"/>
      <x:c r="H54" s="108" t="str">
        <x:v>2</x:v>
      </x:c>
      <x:c r="I54" s="108" t="str">
        <x:v>existing</x:v>
      </x:c>
      <x:c r="J54" s="108" t="str">
        <x:v>ifc_observed</x:v>
      </x:c>
      <x:c r="K54" s="108" t="str"/>
      <x:c r="L54" s="108" t="str"/>
      <x:c r="M54" s="108" t="str"/>
      <x:c r="N54" s="108" t="str"/>
      <x:c r="O54" s="108" t="str">
        <x:v>no</x:v>
      </x:c>
      <x:c r="P54" s="108" t="str">
        <x:v>ifc_type_global_id</x:v>
      </x:c>
      <x:c r="Q54" s="108" t="str">
        <x:v>1brevvVTLEUvLEAw9$zA$$</x:v>
      </x:c>
      <x:c r="R54" s="108" t="str">
        <x:v>IfcElectricAppliance</x:v>
      </x:c>
      <x:c r="S54" s="108" t="str">
        <x:v>SOC01</x:v>
      </x:c>
      <x:c r="T54" s="108" t="str">
        <x:v>1brevvVTLEUvLEAw9$zA$$</x:v>
      </x:c>
      <x:c r="U54" s="108" t="str">
        <x:v>3KXtmVvejA78j_iAS$kydj;0laejMoxn8Lu_X3FZaCXmi</x:v>
      </x:c>
      <x:c r="V54" s="108" t="str">
        <x:v>IFC-FORMAL-001</x:v>
      </x:c>
      <x:c r="W54" s="108" t="str">
        <x:v>formal IFC inventory</x:v>
      </x:c>
      <x:c r="X54" s="108" t="str">
        <x:v>1.00</x:v>
      </x:c>
      <x:c r="Y54" s="108" t="str">
        <x:v>yes</x:v>
      </x:c>
      <x:c r="Z54" s="108" t="str">
        <x:v>ifc_inventory</x:v>
      </x:c>
      <x:c r="AA54" s="108" t="str"/>
      <x:c r="AB54" s="108" t="str">
        <x:v>对象已机械纳入覆盖；最终产品与厂家安装条件待确认</x:v>
      </x:c>
    </x:row>
    <x:row r="55" ht="34" customHeight="1">
      <x:c r="A55" s="108" t="str">
        <x:v>ELECIFC-003</x:v>
      </x:c>
      <x:c r="B55" s="108" t="str">
        <x:v>APPLIANCE</x:v>
      </x:c>
      <x:c r="C55" s="108" t="str">
        <x:v>IfcElectricAppliance</x:v>
      </x:c>
      <x:c r="D55" s="108" t="str">
        <x:v>WD01</x:v>
      </x:c>
      <x:c r="E55" s="108" t="str"/>
      <x:c r="F55" s="108" t="str">
        <x:v>WD01</x:v>
      </x:c>
      <x:c r="G55" s="108" t="str"/>
      <x:c r="H55" s="108" t="str">
        <x:v>1</x:v>
      </x:c>
      <x:c r="I55" s="108" t="str">
        <x:v>existing</x:v>
      </x:c>
      <x:c r="J55" s="108" t="str">
        <x:v>ifc_observed</x:v>
      </x:c>
      <x:c r="K55" s="108" t="str"/>
      <x:c r="L55" s="108" t="str"/>
      <x:c r="M55" s="108" t="str"/>
      <x:c r="N55" s="108" t="str"/>
      <x:c r="O55" s="108" t="str">
        <x:v>no</x:v>
      </x:c>
      <x:c r="P55" s="108" t="str">
        <x:v>ifc_type_global_id</x:v>
      </x:c>
      <x:c r="Q55" s="108" t="str">
        <x:v>2wjsvriqLEgg_LD9g6hDE9</x:v>
      </x:c>
      <x:c r="R55" s="108" t="str">
        <x:v>IfcElectricAppliance</x:v>
      </x:c>
      <x:c r="S55" s="108" t="str">
        <x:v>WD01</x:v>
      </x:c>
      <x:c r="T55" s="108" t="str">
        <x:v>2wjsvriqLEgg_LD9g6hDE9</x:v>
      </x:c>
      <x:c r="U55" s="108" t="str">
        <x:v>0UOnmuAdP1MPy6p3olwiEU</x:v>
      </x:c>
      <x:c r="V55" s="108" t="str">
        <x:v>IFC-FORMAL-001</x:v>
      </x:c>
      <x:c r="W55" s="108" t="str">
        <x:v>formal IFC inventory</x:v>
      </x:c>
      <x:c r="X55" s="108" t="str">
        <x:v>1.00</x:v>
      </x:c>
      <x:c r="Y55" s="108" t="str">
        <x:v>yes</x:v>
      </x:c>
      <x:c r="Z55" s="108" t="str">
        <x:v>ifc_inventory</x:v>
      </x:c>
      <x:c r="AA55" s="108" t="str"/>
      <x:c r="AB55" s="108" t="str">
        <x:v>对象已机械纳入覆盖；最终产品与厂家安装条件待确认</x:v>
      </x:c>
    </x:row>
    <x:row r="56" ht="34" customHeight="1">
      <x:c r="A56" s="108" t="str">
        <x:v>ELECIFC-004</x:v>
      </x:c>
      <x:c r="B56" s="108" t="str">
        <x:v>APPLIANCE</x:v>
      </x:c>
      <x:c r="C56" s="108" t="str">
        <x:v>IfcElectricAppliance</x:v>
      </x:c>
      <x:c r="D56" s="108" t="str">
        <x:v>SOC04</x:v>
      </x:c>
      <x:c r="E56" s="108" t="str"/>
      <x:c r="F56" s="108" t="str">
        <x:v>SOC04</x:v>
      </x:c>
      <x:c r="G56" s="108" t="str"/>
      <x:c r="H56" s="108" t="str">
        <x:v>6</x:v>
      </x:c>
      <x:c r="I56" s="108" t="str">
        <x:v>existing</x:v>
      </x:c>
      <x:c r="J56" s="108" t="str">
        <x:v>ifc_observed</x:v>
      </x:c>
      <x:c r="K56" s="108" t="str"/>
      <x:c r="L56" s="108" t="str"/>
      <x:c r="M56" s="108" t="str"/>
      <x:c r="N56" s="108" t="str"/>
      <x:c r="O56" s="108" t="str">
        <x:v>no</x:v>
      </x:c>
      <x:c r="P56" s="108" t="str">
        <x:v>ifc_type_global_id</x:v>
      </x:c>
      <x:c r="Q56" s="108" t="str">
        <x:v>3Kx5N7gZz4GgZzvzVb6BPX</x:v>
      </x:c>
      <x:c r="R56" s="108" t="str">
        <x:v>IfcElectricAppliance</x:v>
      </x:c>
      <x:c r="S56" s="108" t="str">
        <x:v>SOC04</x:v>
      </x:c>
      <x:c r="T56" s="108" t="str">
        <x:v>3Kx5N7gZz4GgZzvzVb6BPX</x:v>
      </x:c>
      <x:c r="U56" s="108" t="str">
        <x:v>2OOjqQDMHDjRcXQCniWXnp;1Em4DPFTvAiewlVGxRW_A3;2V7bN0abL47eCmJUa9Vx76;27MTenki57DQsfMryX_1U0;1Ys4uIWGf7c8$gUyLRFKw2;32sWy7gRHFC9EuWultV1Lq</x:v>
      </x:c>
      <x:c r="V56" s="108" t="str">
        <x:v>IFC-FORMAL-001</x:v>
      </x:c>
      <x:c r="W56" s="108" t="str">
        <x:v>formal IFC inventory</x:v>
      </x:c>
      <x:c r="X56" s="108" t="str">
        <x:v>1.00</x:v>
      </x:c>
      <x:c r="Y56" s="108" t="str">
        <x:v>yes</x:v>
      </x:c>
      <x:c r="Z56" s="108" t="str">
        <x:v>ifc_inventory</x:v>
      </x:c>
      <x:c r="AA56" s="108" t="str"/>
      <x:c r="AB56" s="108" t="str">
        <x:v>对象已机械纳入覆盖；最终产品与厂家安装条件待确认</x:v>
      </x:c>
    </x:row>
    <x:row r="57" ht="34" customHeight="1">
      <x:c r="A57" s="108" t="str">
        <x:v>FURIFC-001</x:v>
      </x:c>
      <x:c r="B57" s="108" t="str">
        <x:v>FURNITURE</x:v>
      </x:c>
      <x:c r="C57" s="108" t="str">
        <x:v>IfcFurniture</x:v>
      </x:c>
      <x:c r="D57" s="108" t="str">
        <x:v>505 UP V1.LP.S</x:v>
      </x:c>
      <x:c r="E57" s="108" t="str"/>
      <x:c r="F57" s="108" t="str"/>
      <x:c r="G57" s="108" t="str"/>
      <x:c r="H57" s="108" t="str">
        <x:v>1</x:v>
      </x:c>
      <x:c r="I57" s="108" t="str">
        <x:v>existing</x:v>
      </x:c>
      <x:c r="J57" s="108" t="str">
        <x:v>ifc_observed</x:v>
      </x:c>
      <x:c r="K57" s="108" t="str"/>
      <x:c r="L57" s="108" t="str"/>
      <x:c r="M57" s="108" t="str"/>
      <x:c r="N57" s="108" t="str"/>
      <x:c r="O57" s="108" t="str">
        <x:v>no</x:v>
      </x:c>
      <x:c r="P57" s="108" t="str">
        <x:v>global_id</x:v>
      </x:c>
      <x:c r="Q57" s="108" t="str">
        <x:v>19MpdkWqXC7uhUNhLQgrce</x:v>
      </x:c>
      <x:c r="R57" s="108" t="str">
        <x:v>IfcFurniture</x:v>
      </x:c>
      <x:c r="S57" s="108" t="str"/>
      <x:c r="T57" s="108" t="str"/>
      <x:c r="U57" s="108" t="str">
        <x:v>19MpdkWqXC7uhUNhLQgrce</x:v>
      </x:c>
      <x:c r="V57" s="108" t="str">
        <x:v>IFC-FORMAL-001</x:v>
      </x:c>
      <x:c r="W57" s="108" t="str">
        <x:v>formal IFC inventory</x:v>
      </x:c>
      <x:c r="X57" s="108" t="str">
        <x:v>1.00</x:v>
      </x:c>
      <x:c r="Y57" s="108" t="str">
        <x:v>yes</x:v>
      </x:c>
      <x:c r="Z57" s="108" t="str">
        <x:v>ifc_inventory</x:v>
      </x:c>
      <x:c r="AA57" s="108" t="str"/>
      <x:c r="AB57" s="108" t="str">
        <x:v>对象已机械纳入覆盖；最终产品与厂家安装条件待确认</x:v>
      </x:c>
    </x:row>
    <x:row r="58" ht="34" customHeight="1">
      <x:c r="A58" s="108" t="str">
        <x:v>FURIFC-002</x:v>
      </x:c>
      <x:c r="B58" s="108" t="str">
        <x:v>FURNITURE</x:v>
      </x:c>
      <x:c r="C58" s="108" t="str">
        <x:v>IfcFurniture</x:v>
      </x:c>
      <x:c r="D58" s="108" t="str">
        <x:v>VVD Island Inner Sideboard</x:v>
      </x:c>
      <x:c r="E58" s="108" t="str"/>
      <x:c r="F58" s="108" t="str"/>
      <x:c r="G58" s="108" t="str"/>
      <x:c r="H58" s="108" t="str">
        <x:v>1</x:v>
      </x:c>
      <x:c r="I58" s="108" t="str">
        <x:v>existing</x:v>
      </x:c>
      <x:c r="J58" s="108" t="str">
        <x:v>ifc_observed</x:v>
      </x:c>
      <x:c r="K58" s="108" t="str"/>
      <x:c r="L58" s="108" t="str"/>
      <x:c r="M58" s="108" t="str"/>
      <x:c r="N58" s="108" t="str"/>
      <x:c r="O58" s="108" t="str">
        <x:v>no</x:v>
      </x:c>
      <x:c r="P58" s="108" t="str">
        <x:v>global_id</x:v>
      </x:c>
      <x:c r="Q58" s="108" t="str">
        <x:v>34ibuNihL8HQ7qG1pk9Bvn</x:v>
      </x:c>
      <x:c r="R58" s="108" t="str">
        <x:v>IfcFurniture</x:v>
      </x:c>
      <x:c r="S58" s="108" t="str"/>
      <x:c r="T58" s="108" t="str"/>
      <x:c r="U58" s="108" t="str">
        <x:v>34ibuNihL8HQ7qG1pk9Bvn</x:v>
      </x:c>
      <x:c r="V58" s="108" t="str">
        <x:v>IFC-FORMAL-001</x:v>
      </x:c>
      <x:c r="W58" s="108" t="str">
        <x:v>formal IFC inventory</x:v>
      </x:c>
      <x:c r="X58" s="108" t="str">
        <x:v>1.00</x:v>
      </x:c>
      <x:c r="Y58" s="108" t="str">
        <x:v>yes</x:v>
      </x:c>
      <x:c r="Z58" s="108" t="str">
        <x:v>ifc_inventory</x:v>
      </x:c>
      <x:c r="AA58" s="108" t="str"/>
      <x:c r="AB58" s="108" t="str">
        <x:v>对象已机械纳入覆盖；最终产品与厂家安装条件待确认</x:v>
      </x:c>
    </x:row>
    <x:row r="59" ht="34" customHeight="1">
      <x:c r="A59" s="108" t="str">
        <x:v>FURIFC-003</x:v>
      </x:c>
      <x:c r="B59" s="108" t="str">
        <x:v>FURNITURE</x:v>
      </x:c>
      <x:c r="C59" s="108" t="str">
        <x:v>IfcFurniture</x:v>
      </x:c>
      <x:c r="D59" s="108" t="str">
        <x:v>VVD Island worktop board</x:v>
      </x:c>
      <x:c r="E59" s="108" t="str"/>
      <x:c r="F59" s="108" t="str"/>
      <x:c r="G59" s="108" t="str"/>
      <x:c r="H59" s="108" t="str">
        <x:v>1</x:v>
      </x:c>
      <x:c r="I59" s="108" t="str">
        <x:v>existing</x:v>
      </x:c>
      <x:c r="J59" s="108" t="str">
        <x:v>ifc_observed</x:v>
      </x:c>
      <x:c r="K59" s="108" t="str"/>
      <x:c r="L59" s="108" t="str"/>
      <x:c r="M59" s="108" t="str"/>
      <x:c r="N59" s="108" t="str"/>
      <x:c r="O59" s="108" t="str">
        <x:v>no</x:v>
      </x:c>
      <x:c r="P59" s="108" t="str">
        <x:v>global_id</x:v>
      </x:c>
      <x:c r="Q59" s="108" t="str">
        <x:v>1W$zPXJs93UfXs41zQw4oi</x:v>
      </x:c>
      <x:c r="R59" s="108" t="str">
        <x:v>IfcFurniture</x:v>
      </x:c>
      <x:c r="S59" s="108" t="str"/>
      <x:c r="T59" s="108" t="str"/>
      <x:c r="U59" s="108" t="str">
        <x:v>1W$zPXJs93UfXs41zQw4oi</x:v>
      </x:c>
      <x:c r="V59" s="108" t="str">
        <x:v>IFC-FORMAL-001</x:v>
      </x:c>
      <x:c r="W59" s="108" t="str">
        <x:v>formal IFC inventory</x:v>
      </x:c>
      <x:c r="X59" s="108" t="str">
        <x:v>1.00</x:v>
      </x:c>
      <x:c r="Y59" s="108" t="str">
        <x:v>yes</x:v>
      </x:c>
      <x:c r="Z59" s="108" t="str">
        <x:v>ifc_inventory</x:v>
      </x:c>
      <x:c r="AA59" s="108" t="str"/>
      <x:c r="AB59" s="108" t="str">
        <x:v>对象已机械纳入覆盖；最终产品与厂家安装条件待确认</x:v>
      </x:c>
    </x:row>
    <x:row r="60" ht="34" customHeight="1">
      <x:c r="A60" s="108" t="str">
        <x:v>FURIFC-004</x:v>
      </x:c>
      <x:c r="B60" s="108" t="str">
        <x:v>FURNITURE</x:v>
      </x:c>
      <x:c r="C60" s="108" t="str">
        <x:v>IfcFurniture</x:v>
      </x:c>
      <x:c r="D60" s="108" t="str">
        <x:v>TAB02</x:v>
      </x:c>
      <x:c r="E60" s="108" t="str"/>
      <x:c r="F60" s="108" t="str">
        <x:v>TAB02</x:v>
      </x:c>
      <x:c r="G60" s="108" t="str"/>
      <x:c r="H60" s="108" t="str">
        <x:v>1</x:v>
      </x:c>
      <x:c r="I60" s="108" t="str">
        <x:v>existing</x:v>
      </x:c>
      <x:c r="J60" s="108" t="str">
        <x:v>ifc_observed</x:v>
      </x:c>
      <x:c r="K60" s="108" t="str"/>
      <x:c r="L60" s="108" t="str"/>
      <x:c r="M60" s="108" t="str"/>
      <x:c r="N60" s="108" t="str"/>
      <x:c r="O60" s="108" t="str">
        <x:v>no</x:v>
      </x:c>
      <x:c r="P60" s="108" t="str">
        <x:v>ifc_type_global_id</x:v>
      </x:c>
      <x:c r="Q60" s="108" t="str">
        <x:v>07$ZVT0GfEAOX0ntYYymTr</x:v>
      </x:c>
      <x:c r="R60" s="108" t="str">
        <x:v>IfcFurniture</x:v>
      </x:c>
      <x:c r="S60" s="108" t="str">
        <x:v>TAB02</x:v>
      </x:c>
      <x:c r="T60" s="108" t="str">
        <x:v>07$ZVT0GfEAOX0ntYYymTr</x:v>
      </x:c>
      <x:c r="U60" s="108" t="str">
        <x:v>2eX84IyLr8_e34nuOoRPLQ</x:v>
      </x:c>
      <x:c r="V60" s="108" t="str">
        <x:v>IFC-FORMAL-001</x:v>
      </x:c>
      <x:c r="W60" s="108" t="str">
        <x:v>formal IFC inventory</x:v>
      </x:c>
      <x:c r="X60" s="108" t="str">
        <x:v>1.00</x:v>
      </x:c>
      <x:c r="Y60" s="108" t="str">
        <x:v>yes</x:v>
      </x:c>
      <x:c r="Z60" s="108" t="str">
        <x:v>ifc_inventory</x:v>
      </x:c>
      <x:c r="AA60" s="108" t="str"/>
      <x:c r="AB60" s="108" t="str">
        <x:v>对象已机械纳入覆盖；最终产品与厂家安装条件待确认</x:v>
      </x:c>
    </x:row>
    <x:row r="61" ht="34" customHeight="1">
      <x:c r="A61" s="108" t="str">
        <x:v>FURIFC-005</x:v>
      </x:c>
      <x:c r="B61" s="108" t="str">
        <x:v>FURNITURE</x:v>
      </x:c>
      <x:c r="C61" s="108" t="str">
        <x:v>IfcFurniture</x:v>
      </x:c>
      <x:c r="D61" s="108" t="str">
        <x:v>MiamiSoft F03</x:v>
      </x:c>
      <x:c r="E61" s="108" t="str"/>
      <x:c r="F61" s="108" t="str">
        <x:v>MiamiSoft F03</x:v>
      </x:c>
      <x:c r="G61" s="108" t="str"/>
      <x:c r="H61" s="108" t="str">
        <x:v>1</x:v>
      </x:c>
      <x:c r="I61" s="108" t="str">
        <x:v>existing</x:v>
      </x:c>
      <x:c r="J61" s="108" t="str">
        <x:v>ifc_observed</x:v>
      </x:c>
      <x:c r="K61" s="108" t="str"/>
      <x:c r="L61" s="108" t="str"/>
      <x:c r="M61" s="108" t="str"/>
      <x:c r="N61" s="108" t="str"/>
      <x:c r="O61" s="108" t="str">
        <x:v>no</x:v>
      </x:c>
      <x:c r="P61" s="108" t="str">
        <x:v>ifc_type_global_id</x:v>
      </x:c>
      <x:c r="Q61" s="108" t="str">
        <x:v>0AE8$sgIXFIPXLGar5gShW</x:v>
      </x:c>
      <x:c r="R61" s="108" t="str">
        <x:v>IfcFurniture</x:v>
      </x:c>
      <x:c r="S61" s="108" t="str">
        <x:v>MiamiSoft F03</x:v>
      </x:c>
      <x:c r="T61" s="108" t="str">
        <x:v>0AE8$sgIXFIPXLGar5gShW</x:v>
      </x:c>
      <x:c r="U61" s="108" t="str">
        <x:v>1y3lLYK$H9fPbuh1R1vAKX</x:v>
      </x:c>
      <x:c r="V61" s="108" t="str">
        <x:v>IFC-FORMAL-001</x:v>
      </x:c>
      <x:c r="W61" s="108" t="str">
        <x:v>formal IFC inventory</x:v>
      </x:c>
      <x:c r="X61" s="108" t="str">
        <x:v>1.00</x:v>
      </x:c>
      <x:c r="Y61" s="108" t="str">
        <x:v>yes</x:v>
      </x:c>
      <x:c r="Z61" s="108" t="str">
        <x:v>ifc_inventory</x:v>
      </x:c>
      <x:c r="AA61" s="108" t="str"/>
      <x:c r="AB61" s="108" t="str">
        <x:v>对象已机械纳入覆盖；最终产品与厂家安装条件待确认</x:v>
      </x:c>
    </x:row>
    <x:row r="62" ht="34" customHeight="1">
      <x:c r="A62" s="108" t="str">
        <x:v>FURIFC-006</x:v>
      </x:c>
      <x:c r="B62" s="108" t="str">
        <x:v>FURNITURE</x:v>
      </x:c>
      <x:c r="C62" s="108" t="str">
        <x:v>IfcFurniture</x:v>
      </x:c>
      <x:c r="D62" s="108" t="str">
        <x:v>MiamiSoft E07</x:v>
      </x:c>
      <x:c r="E62" s="108" t="str"/>
      <x:c r="F62" s="108" t="str">
        <x:v>MiamiSoft E07</x:v>
      </x:c>
      <x:c r="G62" s="108" t="str"/>
      <x:c r="H62" s="108" t="str">
        <x:v>1</x:v>
      </x:c>
      <x:c r="I62" s="108" t="str">
        <x:v>existing</x:v>
      </x:c>
      <x:c r="J62" s="108" t="str">
        <x:v>ifc_observed</x:v>
      </x:c>
      <x:c r="K62" s="108" t="str"/>
      <x:c r="L62" s="108" t="str"/>
      <x:c r="M62" s="108" t="str"/>
      <x:c r="N62" s="108" t="str"/>
      <x:c r="O62" s="108" t="str">
        <x:v>no</x:v>
      </x:c>
      <x:c r="P62" s="108" t="str">
        <x:v>ifc_type_global_id</x:v>
      </x:c>
      <x:c r="Q62" s="108" t="str">
        <x:v>0BAp_OX1HDRuxHD4UaBEy3</x:v>
      </x:c>
      <x:c r="R62" s="108" t="str">
        <x:v>IfcFurniture</x:v>
      </x:c>
      <x:c r="S62" s="108" t="str">
        <x:v>MiamiSoft E07</x:v>
      </x:c>
      <x:c r="T62" s="108" t="str">
        <x:v>0BAp_OX1HDRuxHD4UaBEy3</x:v>
      </x:c>
      <x:c r="U62" s="108" t="str">
        <x:v>1G7iO6CfP64PjummX$qTbt</x:v>
      </x:c>
      <x:c r="V62" s="108" t="str">
        <x:v>IFC-FORMAL-001</x:v>
      </x:c>
      <x:c r="W62" s="108" t="str">
        <x:v>formal IFC inventory</x:v>
      </x:c>
      <x:c r="X62" s="108" t="str">
        <x:v>1.00</x:v>
      </x:c>
      <x:c r="Y62" s="108" t="str">
        <x:v>yes</x:v>
      </x:c>
      <x:c r="Z62" s="108" t="str">
        <x:v>ifc_inventory</x:v>
      </x:c>
      <x:c r="AA62" s="108" t="str"/>
      <x:c r="AB62" s="108" t="str">
        <x:v>对象已机械纳入覆盖；最终产品与厂家安装条件待确认</x:v>
      </x:c>
    </x:row>
    <x:row r="63" ht="34" customHeight="1">
      <x:c r="A63" s="108" t="str">
        <x:v>FURIFC-007</x:v>
      </x:c>
      <x:c r="B63" s="108" t="str">
        <x:v>FURNITURE</x:v>
      </x:c>
      <x:c r="C63" s="108" t="str">
        <x:v>IfcFurniture</x:v>
      </x:c>
      <x:c r="D63" s="108" t="str">
        <x:v>PAN01</x:v>
      </x:c>
      <x:c r="E63" s="108" t="str"/>
      <x:c r="F63" s="108" t="str">
        <x:v>PAN01</x:v>
      </x:c>
      <x:c r="G63" s="108" t="str"/>
      <x:c r="H63" s="108" t="str">
        <x:v>1</x:v>
      </x:c>
      <x:c r="I63" s="108" t="str">
        <x:v>existing</x:v>
      </x:c>
      <x:c r="J63" s="108" t="str">
        <x:v>ifc_observed</x:v>
      </x:c>
      <x:c r="K63" s="108" t="str"/>
      <x:c r="L63" s="108" t="str"/>
      <x:c r="M63" s="108" t="str"/>
      <x:c r="N63" s="108" t="str"/>
      <x:c r="O63" s="108" t="str">
        <x:v>no</x:v>
      </x:c>
      <x:c r="P63" s="108" t="str">
        <x:v>ifc_type_global_id</x:v>
      </x:c>
      <x:c r="Q63" s="108" t="str">
        <x:v>0CdVslebD4kASMGurgCbCT</x:v>
      </x:c>
      <x:c r="R63" s="108" t="str">
        <x:v>IfcFurniture</x:v>
      </x:c>
      <x:c r="S63" s="108" t="str">
        <x:v>PAN01</x:v>
      </x:c>
      <x:c r="T63" s="108" t="str">
        <x:v>0CdVslebD4kASMGurgCbCT</x:v>
      </x:c>
      <x:c r="U63" s="108" t="str">
        <x:v>3Iw2dPDZD5Mfs_rhY0SbxO</x:v>
      </x:c>
      <x:c r="V63" s="108" t="str">
        <x:v>IFC-FORMAL-001</x:v>
      </x:c>
      <x:c r="W63" s="108" t="str">
        <x:v>formal IFC inventory</x:v>
      </x:c>
      <x:c r="X63" s="108" t="str">
        <x:v>1.00</x:v>
      </x:c>
      <x:c r="Y63" s="108" t="str">
        <x:v>yes</x:v>
      </x:c>
      <x:c r="Z63" s="108" t="str">
        <x:v>ifc_inventory</x:v>
      </x:c>
      <x:c r="AA63" s="108" t="str"/>
      <x:c r="AB63" s="108" t="str">
        <x:v>对象已机械纳入覆盖；最终产品与厂家安装条件待确认</x:v>
      </x:c>
    </x:row>
    <x:row r="64" ht="34" customHeight="1">
      <x:c r="A64" s="108" t="str">
        <x:v>FURIFC-008</x:v>
      </x:c>
      <x:c r="B64" s="108" t="str">
        <x:v>FURNITURE</x:v>
      </x:c>
      <x:c r="C64" s="108" t="str">
        <x:v>IfcFurniture</x:v>
      </x:c>
      <x:c r="D64" s="108" t="str">
        <x:v>HD1200</x:v>
      </x:c>
      <x:c r="E64" s="108" t="str"/>
      <x:c r="F64" s="108" t="str">
        <x:v>HD1200</x:v>
      </x:c>
      <x:c r="G64" s="108" t="str"/>
      <x:c r="H64" s="108" t="str">
        <x:v>2</x:v>
      </x:c>
      <x:c r="I64" s="108" t="str">
        <x:v>existing</x:v>
      </x:c>
      <x:c r="J64" s="108" t="str">
        <x:v>ifc_observed</x:v>
      </x:c>
      <x:c r="K64" s="108" t="str"/>
      <x:c r="L64" s="108" t="str"/>
      <x:c r="M64" s="108" t="str"/>
      <x:c r="N64" s="108" t="str"/>
      <x:c r="O64" s="108" t="str">
        <x:v>no</x:v>
      </x:c>
      <x:c r="P64" s="108" t="str">
        <x:v>ifc_type_global_id</x:v>
      </x:c>
      <x:c r="Q64" s="108" t="str">
        <x:v>0Ig3wKvv527uvKsZZM3G3r</x:v>
      </x:c>
      <x:c r="R64" s="108" t="str">
        <x:v>IfcFurniture</x:v>
      </x:c>
      <x:c r="S64" s="108" t="str">
        <x:v>HD1200</x:v>
      </x:c>
      <x:c r="T64" s="108" t="str">
        <x:v>0Ig3wKvv527uvKsZZM3G3r</x:v>
      </x:c>
      <x:c r="U64" s="108" t="str">
        <x:v>2Ow9_uborBZBD0$5xNeixV;0g9nlU$MjAMRCzhYImmt98</x:v>
      </x:c>
      <x:c r="V64" s="108" t="str">
        <x:v>IFC-FORMAL-001</x:v>
      </x:c>
      <x:c r="W64" s="108" t="str">
        <x:v>formal IFC inventory</x:v>
      </x:c>
      <x:c r="X64" s="108" t="str">
        <x:v>1.00</x:v>
      </x:c>
      <x:c r="Y64" s="108" t="str">
        <x:v>yes</x:v>
      </x:c>
      <x:c r="Z64" s="108" t="str">
        <x:v>ifc_inventory</x:v>
      </x:c>
      <x:c r="AA64" s="108" t="str"/>
      <x:c r="AB64" s="108" t="str">
        <x:v>对象已机械纳入覆盖；最终产品与厂家安装条件待确认</x:v>
      </x:c>
    </x:row>
    <x:row r="65" ht="34" customHeight="1">
      <x:c r="A65" s="108" t="str">
        <x:v>FURIFC-009</x:v>
      </x:c>
      <x:c r="B65" s="108" t="str">
        <x:v>FURNITURE</x:v>
      </x:c>
      <x:c r="C65" s="108" t="str">
        <x:v>IfcFurniture</x:v>
      </x:c>
      <x:c r="D65" s="108" t="str">
        <x:v>HD600</x:v>
      </x:c>
      <x:c r="E65" s="108" t="str"/>
      <x:c r="F65" s="108" t="str">
        <x:v>HD600</x:v>
      </x:c>
      <x:c r="G65" s="108" t="str"/>
      <x:c r="H65" s="108" t="str">
        <x:v>8</x:v>
      </x:c>
      <x:c r="I65" s="108" t="str">
        <x:v>existing</x:v>
      </x:c>
      <x:c r="J65" s="108" t="str">
        <x:v>ifc_observed</x:v>
      </x:c>
      <x:c r="K65" s="108" t="str"/>
      <x:c r="L65" s="108" t="str"/>
      <x:c r="M65" s="108" t="str"/>
      <x:c r="N65" s="108" t="str"/>
      <x:c r="O65" s="108" t="str">
        <x:v>no</x:v>
      </x:c>
      <x:c r="P65" s="108" t="str">
        <x:v>ifc_type_global_id</x:v>
      </x:c>
      <x:c r="Q65" s="108" t="str">
        <x:v>0VCLEyysn9UuG5hCYDlwP$</x:v>
      </x:c>
      <x:c r="R65" s="108" t="str">
        <x:v>IfcFurniture</x:v>
      </x:c>
      <x:c r="S65" s="108" t="str">
        <x:v>HD600</x:v>
      </x:c>
      <x:c r="T65" s="108" t="str">
        <x:v>0VCLEyysn9UuG5hCYDlwP$</x:v>
      </x:c>
      <x:c r="U65" s="108" t="str">
        <x:v>0KOZ2zF5X9Nx_1fZfaon0m;0EjdAJnV5AxxJ1FbxzQY3I;0tM_AFFsLCsfwouf4rVzw9;0pXVcnUbz8VQurx0yCzZMi;3KK_SgXEX5zRUBrRmnKqCR;1rEY33mWr2nxgCw3qNVY0n;1$8Qz3qyrCNh2OkNLTBz8K;3TzcgvX591BfiTgtWaS4C4</x:v>
      </x:c>
      <x:c r="V65" s="108" t="str">
        <x:v>IFC-FORMAL-001</x:v>
      </x:c>
      <x:c r="W65" s="108" t="str">
        <x:v>formal IFC inventory</x:v>
      </x:c>
      <x:c r="X65" s="108" t="str">
        <x:v>1.00</x:v>
      </x:c>
      <x:c r="Y65" s="108" t="str">
        <x:v>yes</x:v>
      </x:c>
      <x:c r="Z65" s="108" t="str">
        <x:v>ifc_inventory</x:v>
      </x:c>
      <x:c r="AA65" s="108" t="str"/>
      <x:c r="AB65" s="108" t="str">
        <x:v>对象已机械纳入覆盖；最终产品与厂家安装条件待确认</x:v>
      </x:c>
    </x:row>
    <x:row r="66" ht="34" customHeight="1">
      <x:c r="A66" s="108" t="str">
        <x:v>FURIFC-010</x:v>
      </x:c>
      <x:c r="B66" s="108" t="str">
        <x:v>FURNITURE</x:v>
      </x:c>
      <x:c r="C66" s="108" t="str">
        <x:v>IfcFurniture</x:v>
      </x:c>
      <x:c r="D66" s="108" t="str">
        <x:v>HC02</x:v>
      </x:c>
      <x:c r="E66" s="108" t="str"/>
      <x:c r="F66" s="108" t="str">
        <x:v>HC02</x:v>
      </x:c>
      <x:c r="G66" s="108" t="str"/>
      <x:c r="H66" s="108" t="str">
        <x:v>1</x:v>
      </x:c>
      <x:c r="I66" s="108" t="str">
        <x:v>existing</x:v>
      </x:c>
      <x:c r="J66" s="108" t="str">
        <x:v>ifc_observed</x:v>
      </x:c>
      <x:c r="K66" s="108" t="str"/>
      <x:c r="L66" s="108" t="str"/>
      <x:c r="M66" s="108" t="str"/>
      <x:c r="N66" s="108" t="str"/>
      <x:c r="O66" s="108" t="str">
        <x:v>no</x:v>
      </x:c>
      <x:c r="P66" s="108" t="str">
        <x:v>ifc_type_global_id</x:v>
      </x:c>
      <x:c r="Q66" s="108" t="str">
        <x:v>0Y09ehcAX3ufK99cTvwq6c</x:v>
      </x:c>
      <x:c r="R66" s="108" t="str">
        <x:v>IfcFurniture</x:v>
      </x:c>
      <x:c r="S66" s="108" t="str">
        <x:v>HC02</x:v>
      </x:c>
      <x:c r="T66" s="108" t="str">
        <x:v>0Y09ehcAX3ufK99cTvwq6c</x:v>
      </x:c>
      <x:c r="U66" s="108" t="str">
        <x:v>0oa9P8fWXBR9CrIiSdqzDf</x:v>
      </x:c>
      <x:c r="V66" s="108" t="str">
        <x:v>IFC-FORMAL-001</x:v>
      </x:c>
      <x:c r="W66" s="108" t="str">
        <x:v>formal IFC inventory</x:v>
      </x:c>
      <x:c r="X66" s="108" t="str">
        <x:v>1.00</x:v>
      </x:c>
      <x:c r="Y66" s="108" t="str">
        <x:v>yes</x:v>
      </x:c>
      <x:c r="Z66" s="108" t="str">
        <x:v>ifc_inventory</x:v>
      </x:c>
      <x:c r="AA66" s="108" t="str"/>
      <x:c r="AB66" s="108" t="str">
        <x:v>对象已机械纳入覆盖；最终产品与厂家安装条件待确认</x:v>
      </x:c>
    </x:row>
    <x:row r="67" ht="34" customHeight="1">
      <x:c r="A67" s="108" t="str">
        <x:v>FURIFC-011</x:v>
      </x:c>
      <x:c r="B67" s="108" t="str">
        <x:v>FURNITURE</x:v>
      </x:c>
      <x:c r="C67" s="108" t="str">
        <x:v>IfcFurniture</x:v>
      </x:c>
      <x:c r="D67" s="108" t="str">
        <x:v>BST01</x:v>
      </x:c>
      <x:c r="E67" s="108" t="str"/>
      <x:c r="F67" s="108" t="str">
        <x:v>BST01</x:v>
      </x:c>
      <x:c r="G67" s="108" t="str"/>
      <x:c r="H67" s="108" t="str">
        <x:v>1</x:v>
      </x:c>
      <x:c r="I67" s="108" t="str">
        <x:v>existing</x:v>
      </x:c>
      <x:c r="J67" s="108" t="str">
        <x:v>ifc_observed</x:v>
      </x:c>
      <x:c r="K67" s="108" t="str"/>
      <x:c r="L67" s="108" t="str"/>
      <x:c r="M67" s="108" t="str"/>
      <x:c r="N67" s="108" t="str"/>
      <x:c r="O67" s="108" t="str">
        <x:v>no</x:v>
      </x:c>
      <x:c r="P67" s="108" t="str">
        <x:v>ifc_type_global_id</x:v>
      </x:c>
      <x:c r="Q67" s="108" t="str">
        <x:v>0ZWJNi2GP9KvvQhOX1hwKP</x:v>
      </x:c>
      <x:c r="R67" s="108" t="str">
        <x:v>IfcFurniture</x:v>
      </x:c>
      <x:c r="S67" s="108" t="str">
        <x:v>BST01</x:v>
      </x:c>
      <x:c r="T67" s="108" t="str">
        <x:v>0ZWJNi2GP9KvvQhOX1hwKP</x:v>
      </x:c>
      <x:c r="U67" s="108" t="str">
        <x:v>3eic1dzkn5heTIn4PhF37v</x:v>
      </x:c>
      <x:c r="V67" s="108" t="str">
        <x:v>IFC-FORMAL-001</x:v>
      </x:c>
      <x:c r="W67" s="108" t="str">
        <x:v>formal IFC inventory</x:v>
      </x:c>
      <x:c r="X67" s="108" t="str">
        <x:v>1.00</x:v>
      </x:c>
      <x:c r="Y67" s="108" t="str">
        <x:v>yes</x:v>
      </x:c>
      <x:c r="Z67" s="108" t="str">
        <x:v>ifc_inventory</x:v>
      </x:c>
      <x:c r="AA67" s="108" t="str"/>
      <x:c r="AB67" s="108" t="str">
        <x:v>对象已机械纳入覆盖；最终产品与厂家安装条件待确认</x:v>
      </x:c>
    </x:row>
    <x:row r="68" ht="34" customHeight="1">
      <x:c r="A68" s="108" t="str">
        <x:v>FURIFC-012</x:v>
      </x:c>
      <x:c r="B68" s="108" t="str">
        <x:v>FURNITURE</x:v>
      </x:c>
      <x:c r="C68" s="108" t="str">
        <x:v>IfcFurniture</x:v>
      </x:c>
      <x:c r="D68" s="108" t="str">
        <x:v>FRI01</x:v>
      </x:c>
      <x:c r="E68" s="108" t="str"/>
      <x:c r="F68" s="108" t="str">
        <x:v>FRI01</x:v>
      </x:c>
      <x:c r="G68" s="108" t="str"/>
      <x:c r="H68" s="108" t="str">
        <x:v>1</x:v>
      </x:c>
      <x:c r="I68" s="108" t="str">
        <x:v>existing</x:v>
      </x:c>
      <x:c r="J68" s="108" t="str">
        <x:v>ifc_observed</x:v>
      </x:c>
      <x:c r="K68" s="108" t="str"/>
      <x:c r="L68" s="108" t="str"/>
      <x:c r="M68" s="108" t="str"/>
      <x:c r="N68" s="108" t="str"/>
      <x:c r="O68" s="108" t="str">
        <x:v>no</x:v>
      </x:c>
      <x:c r="P68" s="108" t="str">
        <x:v>ifc_type_global_id</x:v>
      </x:c>
      <x:c r="Q68" s="108" t="str">
        <x:v>0gCxshhaX7dfcQYLMnPSIG</x:v>
      </x:c>
      <x:c r="R68" s="108" t="str">
        <x:v>IfcFurniture</x:v>
      </x:c>
      <x:c r="S68" s="108" t="str">
        <x:v>FRI01</x:v>
      </x:c>
      <x:c r="T68" s="108" t="str">
        <x:v>0gCxshhaX7dfcQYLMnPSIG</x:v>
      </x:c>
      <x:c r="U68" s="108" t="str">
        <x:v>0R_0Tg1w5C9RhW9jSCjiok</x:v>
      </x:c>
      <x:c r="V68" s="108" t="str">
        <x:v>IFC-FORMAL-001</x:v>
      </x:c>
      <x:c r="W68" s="108" t="str">
        <x:v>formal IFC inventory</x:v>
      </x:c>
      <x:c r="X68" s="108" t="str">
        <x:v>1.00</x:v>
      </x:c>
      <x:c r="Y68" s="108" t="str">
        <x:v>yes</x:v>
      </x:c>
      <x:c r="Z68" s="108" t="str">
        <x:v>ifc_inventory</x:v>
      </x:c>
      <x:c r="AA68" s="108" t="str"/>
      <x:c r="AB68" s="108" t="str">
        <x:v>对象已机械纳入覆盖；最终产品与厂家安装条件待确认</x:v>
      </x:c>
    </x:row>
    <x:row r="69" ht="34" customHeight="1">
      <x:c r="A69" s="108" t="str">
        <x:v>FURIFC-013</x:v>
      </x:c>
      <x:c r="B69" s="108" t="str">
        <x:v>FURNITURE</x:v>
      </x:c>
      <x:c r="C69" s="108" t="str">
        <x:v>IfcFurniture</x:v>
      </x:c>
      <x:c r="D69" s="108" t="str">
        <x:v>WD03</x:v>
      </x:c>
      <x:c r="E69" s="108" t="str"/>
      <x:c r="F69" s="108" t="str">
        <x:v>WD03</x:v>
      </x:c>
      <x:c r="G69" s="108" t="str"/>
      <x:c r="H69" s="108" t="str">
        <x:v>1</x:v>
      </x:c>
      <x:c r="I69" s="108" t="str">
        <x:v>existing</x:v>
      </x:c>
      <x:c r="J69" s="108" t="str">
        <x:v>ifc_observed</x:v>
      </x:c>
      <x:c r="K69" s="108" t="str"/>
      <x:c r="L69" s="108" t="str"/>
      <x:c r="M69" s="108" t="str"/>
      <x:c r="N69" s="108" t="str"/>
      <x:c r="O69" s="108" t="str">
        <x:v>no</x:v>
      </x:c>
      <x:c r="P69" s="108" t="str">
        <x:v>ifc_type_global_id</x:v>
      </x:c>
      <x:c r="Q69" s="108" t="str">
        <x:v>0l3LxR2Lj1egsE94rFSMeK</x:v>
      </x:c>
      <x:c r="R69" s="108" t="str">
        <x:v>IfcFurniture</x:v>
      </x:c>
      <x:c r="S69" s="108" t="str">
        <x:v>WD03</x:v>
      </x:c>
      <x:c r="T69" s="108" t="str">
        <x:v>0l3LxR2Lj1egsE94rFSMeK</x:v>
      </x:c>
      <x:c r="U69" s="108" t="str">
        <x:v>3cmikd9MTB$egM5KQaNgUf</x:v>
      </x:c>
      <x:c r="V69" s="108" t="str">
        <x:v>IFC-FORMAL-001</x:v>
      </x:c>
      <x:c r="W69" s="108" t="str">
        <x:v>formal IFC inventory</x:v>
      </x:c>
      <x:c r="X69" s="108" t="str">
        <x:v>1.00</x:v>
      </x:c>
      <x:c r="Y69" s="108" t="str">
        <x:v>yes</x:v>
      </x:c>
      <x:c r="Z69" s="108" t="str">
        <x:v>ifc_inventory</x:v>
      </x:c>
      <x:c r="AA69" s="108" t="str"/>
      <x:c r="AB69" s="108" t="str">
        <x:v>对象已机械纳入覆盖；最终产品与厂家安装条件待确认</x:v>
      </x:c>
    </x:row>
    <x:row r="70" ht="34" customHeight="1">
      <x:c r="A70" s="108" t="str">
        <x:v>FURIFC-014</x:v>
      </x:c>
      <x:c r="B70" s="108" t="str">
        <x:v>FURNITURE</x:v>
      </x:c>
      <x:c r="C70" s="108" t="str">
        <x:v>IfcFurniture</x:v>
      </x:c>
      <x:c r="D70" s="108" t="str">
        <x:v>HIMA01</x:v>
      </x:c>
      <x:c r="E70" s="108" t="str"/>
      <x:c r="F70" s="108" t="str">
        <x:v>HIMA01</x:v>
      </x:c>
      <x:c r="G70" s="108" t="str"/>
      <x:c r="H70" s="108" t="str">
        <x:v>1</x:v>
      </x:c>
      <x:c r="I70" s="108" t="str">
        <x:v>existing</x:v>
      </x:c>
      <x:c r="J70" s="108" t="str">
        <x:v>ifc_observed</x:v>
      </x:c>
      <x:c r="K70" s="108" t="str"/>
      <x:c r="L70" s="108" t="str"/>
      <x:c r="M70" s="108" t="str"/>
      <x:c r="N70" s="108" t="str"/>
      <x:c r="O70" s="108" t="str">
        <x:v>no</x:v>
      </x:c>
      <x:c r="P70" s="108" t="str">
        <x:v>ifc_type_global_id</x:v>
      </x:c>
      <x:c r="Q70" s="108" t="str">
        <x:v>0lZnf636H3xPeZDVQam9Ip</x:v>
      </x:c>
      <x:c r="R70" s="108" t="str">
        <x:v>IfcFurniture</x:v>
      </x:c>
      <x:c r="S70" s="108" t="str">
        <x:v>HIMA01</x:v>
      </x:c>
      <x:c r="T70" s="108" t="str">
        <x:v>0lZnf636H3xPeZDVQam9Ip</x:v>
      </x:c>
      <x:c r="U70" s="108" t="str">
        <x:v>2xmcLzu1rDTeMzRuNxPDyE</x:v>
      </x:c>
      <x:c r="V70" s="108" t="str">
        <x:v>IFC-FORMAL-001</x:v>
      </x:c>
      <x:c r="W70" s="108" t="str">
        <x:v>formal IFC inventory</x:v>
      </x:c>
      <x:c r="X70" s="108" t="str">
        <x:v>1.00</x:v>
      </x:c>
      <x:c r="Y70" s="108" t="str">
        <x:v>yes</x:v>
      </x:c>
      <x:c r="Z70" s="108" t="str">
        <x:v>ifc_inventory</x:v>
      </x:c>
      <x:c r="AA70" s="108" t="str"/>
      <x:c r="AB70" s="108" t="str">
        <x:v>对象已机械纳入覆盖；最终产品与厂家安装条件待确认</x:v>
      </x:c>
    </x:row>
    <x:row r="71" ht="34" customHeight="1">
      <x:c r="A71" s="108" t="str">
        <x:v>FURIFC-015</x:v>
      </x:c>
      <x:c r="B71" s="108" t="str">
        <x:v>FURNITURE</x:v>
      </x:c>
      <x:c r="C71" s="108" t="str">
        <x:v>IfcFurniture</x:v>
      </x:c>
      <x:c r="D71" s="108" t="str">
        <x:v>Marilyn 02</x:v>
      </x:c>
      <x:c r="E71" s="108" t="str"/>
      <x:c r="F71" s="108" t="str">
        <x:v>Marilyn 02</x:v>
      </x:c>
      <x:c r="G71" s="108" t="str"/>
      <x:c r="H71" s="108" t="str">
        <x:v>1</x:v>
      </x:c>
      <x:c r="I71" s="108" t="str">
        <x:v>existing</x:v>
      </x:c>
      <x:c r="J71" s="108" t="str">
        <x:v>ifc_observed</x:v>
      </x:c>
      <x:c r="K71" s="108" t="str"/>
      <x:c r="L71" s="108" t="str"/>
      <x:c r="M71" s="108" t="str"/>
      <x:c r="N71" s="108" t="str"/>
      <x:c r="O71" s="108" t="str">
        <x:v>no</x:v>
      </x:c>
      <x:c r="P71" s="108" t="str">
        <x:v>ifc_type_global_id</x:v>
      </x:c>
      <x:c r="Q71" s="108" t="str">
        <x:v>0qTjGYHT13_BUbOzZA_Zbi</x:v>
      </x:c>
      <x:c r="R71" s="108" t="str">
        <x:v>IfcFurniture</x:v>
      </x:c>
      <x:c r="S71" s="108" t="str">
        <x:v>Marilyn 02</x:v>
      </x:c>
      <x:c r="T71" s="108" t="str">
        <x:v>0qTjGYHT13_BUbOzZA_Zbi</x:v>
      </x:c>
      <x:c r="U71" s="108" t="str">
        <x:v>1THxa7p7n97w$wtLn4THjz</x:v>
      </x:c>
      <x:c r="V71" s="108" t="str">
        <x:v>IFC-FORMAL-001</x:v>
      </x:c>
      <x:c r="W71" s="108" t="str">
        <x:v>formal IFC inventory</x:v>
      </x:c>
      <x:c r="X71" s="108" t="str">
        <x:v>1.00</x:v>
      </x:c>
      <x:c r="Y71" s="108" t="str">
        <x:v>yes</x:v>
      </x:c>
      <x:c r="Z71" s="108" t="str">
        <x:v>ifc_inventory</x:v>
      </x:c>
      <x:c r="AA71" s="108" t="str"/>
      <x:c r="AB71" s="108" t="str">
        <x:v>对象已机械纳入覆盖；最终产品与厂家安装条件待确认</x:v>
      </x:c>
    </x:row>
    <x:row r="72" ht="34" customHeight="1">
      <x:c r="A72" s="108" t="str">
        <x:v>FURIFC-016</x:v>
      </x:c>
      <x:c r="B72" s="108" t="str">
        <x:v>FURNITURE</x:v>
      </x:c>
      <x:c r="C72" s="108" t="str">
        <x:v>IfcFurniture</x:v>
      </x:c>
      <x:c r="D72" s="108" t="str">
        <x:v>BN450</x:v>
      </x:c>
      <x:c r="E72" s="108" t="str"/>
      <x:c r="F72" s="108" t="str">
        <x:v>BN450</x:v>
      </x:c>
      <x:c r="G72" s="108" t="str"/>
      <x:c r="H72" s="108" t="str">
        <x:v>1</x:v>
      </x:c>
      <x:c r="I72" s="108" t="str">
        <x:v>existing</x:v>
      </x:c>
      <x:c r="J72" s="108" t="str">
        <x:v>ifc_observed</x:v>
      </x:c>
      <x:c r="K72" s="108" t="str"/>
      <x:c r="L72" s="108" t="str"/>
      <x:c r="M72" s="108" t="str"/>
      <x:c r="N72" s="108" t="str"/>
      <x:c r="O72" s="108" t="str">
        <x:v>no</x:v>
      </x:c>
      <x:c r="P72" s="108" t="str">
        <x:v>ifc_type_global_id</x:v>
      </x:c>
      <x:c r="Q72" s="108" t="str">
        <x:v>0vBhps2zjD7faj8uFAIHjr</x:v>
      </x:c>
      <x:c r="R72" s="108" t="str">
        <x:v>IfcFurniture</x:v>
      </x:c>
      <x:c r="S72" s="108" t="str">
        <x:v>BN450</x:v>
      </x:c>
      <x:c r="T72" s="108" t="str">
        <x:v>0vBhps2zjD7faj8uFAIHjr</x:v>
      </x:c>
      <x:c r="U72" s="108" t="str">
        <x:v>3dhCNvdyj2ChIzarSRLztN</x:v>
      </x:c>
      <x:c r="V72" s="108" t="str">
        <x:v>IFC-FORMAL-001</x:v>
      </x:c>
      <x:c r="W72" s="108" t="str">
        <x:v>formal IFC inventory</x:v>
      </x:c>
      <x:c r="X72" s="108" t="str">
        <x:v>1.00</x:v>
      </x:c>
      <x:c r="Y72" s="108" t="str">
        <x:v>yes</x:v>
      </x:c>
      <x:c r="Z72" s="108" t="str">
        <x:v>ifc_inventory</x:v>
      </x:c>
      <x:c r="AA72" s="108" t="str"/>
      <x:c r="AB72" s="108" t="str">
        <x:v>对象已机械纳入覆盖；最终产品与厂家安装条件待确认</x:v>
      </x:c>
    </x:row>
    <x:row r="73" ht="34" customHeight="1">
      <x:c r="A73" s="108" t="str">
        <x:v>FURIFC-017</x:v>
      </x:c>
      <x:c r="B73" s="108" t="str">
        <x:v>FURNITURE</x:v>
      </x:c>
      <x:c r="C73" s="108" t="str">
        <x:v>IfcFurniture</x:v>
      </x:c>
      <x:c r="D73" s="108" t="str">
        <x:v>BW450</x:v>
      </x:c>
      <x:c r="E73" s="108" t="str"/>
      <x:c r="F73" s="108" t="str">
        <x:v>BW450</x:v>
      </x:c>
      <x:c r="G73" s="108" t="str"/>
      <x:c r="H73" s="108" t="str">
        <x:v>1</x:v>
      </x:c>
      <x:c r="I73" s="108" t="str">
        <x:v>existing</x:v>
      </x:c>
      <x:c r="J73" s="108" t="str">
        <x:v>ifc_observed</x:v>
      </x:c>
      <x:c r="K73" s="108" t="str"/>
      <x:c r="L73" s="108" t="str"/>
      <x:c r="M73" s="108" t="str"/>
      <x:c r="N73" s="108" t="str"/>
      <x:c r="O73" s="108" t="str">
        <x:v>no</x:v>
      </x:c>
      <x:c r="P73" s="108" t="str">
        <x:v>ifc_type_global_id</x:v>
      </x:c>
      <x:c r="Q73" s="108" t="str">
        <x:v>0vBwGmRUj1wAolyqmzINl2</x:v>
      </x:c>
      <x:c r="R73" s="108" t="str">
        <x:v>IfcFurniture</x:v>
      </x:c>
      <x:c r="S73" s="108" t="str">
        <x:v>BW450</x:v>
      </x:c>
      <x:c r="T73" s="108" t="str">
        <x:v>0vBwGmRUj1wAolyqmzINl2</x:v>
      </x:c>
      <x:c r="U73" s="108" t="str">
        <x:v>0n8o0OmS14dPMzkq7lmKwu</x:v>
      </x:c>
      <x:c r="V73" s="108" t="str">
        <x:v>IFC-FORMAL-001</x:v>
      </x:c>
      <x:c r="W73" s="108" t="str">
        <x:v>formal IFC inventory</x:v>
      </x:c>
      <x:c r="X73" s="108" t="str">
        <x:v>1.00</x:v>
      </x:c>
      <x:c r="Y73" s="108" t="str">
        <x:v>yes</x:v>
      </x:c>
      <x:c r="Z73" s="108" t="str">
        <x:v>ifc_inventory</x:v>
      </x:c>
      <x:c r="AA73" s="108" t="str"/>
      <x:c r="AB73" s="108" t="str">
        <x:v>对象已机械纳入覆盖；最终产品与厂家安装条件待确认</x:v>
      </x:c>
    </x:row>
    <x:row r="74" ht="34" customHeight="1">
      <x:c r="A74" s="108" t="str">
        <x:v>FURIFC-018</x:v>
      </x:c>
      <x:c r="B74" s="108" t="str">
        <x:v>FURNITURE</x:v>
      </x:c>
      <x:c r="C74" s="108" t="str">
        <x:v>IfcFurniture</x:v>
      </x:c>
      <x:c r="D74" s="108" t="str">
        <x:v>SKI04</x:v>
      </x:c>
      <x:c r="E74" s="108" t="str"/>
      <x:c r="F74" s="108" t="str">
        <x:v>SKI04</x:v>
      </x:c>
      <x:c r="G74" s="108" t="str"/>
      <x:c r="H74" s="108" t="str">
        <x:v>2</x:v>
      </x:c>
      <x:c r="I74" s="108" t="str">
        <x:v>existing</x:v>
      </x:c>
      <x:c r="J74" s="108" t="str">
        <x:v>ifc_observed</x:v>
      </x:c>
      <x:c r="K74" s="108" t="str"/>
      <x:c r="L74" s="108" t="str"/>
      <x:c r="M74" s="108" t="str"/>
      <x:c r="N74" s="108" t="str"/>
      <x:c r="O74" s="108" t="str">
        <x:v>no</x:v>
      </x:c>
      <x:c r="P74" s="108" t="str">
        <x:v>ifc_type_global_id</x:v>
      </x:c>
      <x:c r="Q74" s="108" t="str">
        <x:v>0vWFd9aF923PS_YmO$YLvM</x:v>
      </x:c>
      <x:c r="R74" s="108" t="str">
        <x:v>IfcFurniture</x:v>
      </x:c>
      <x:c r="S74" s="108" t="str">
        <x:v>SKI04</x:v>
      </x:c>
      <x:c r="T74" s="108" t="str">
        <x:v>0vWFd9aF923PS_YmO$YLvM</x:v>
      </x:c>
      <x:c r="U74" s="108" t="str">
        <x:v>3s1sv3rivC_B$dTKwCA4kt;1JMXCthV161Ay1zyyjMeYY</x:v>
      </x:c>
      <x:c r="V74" s="108" t="str">
        <x:v>IFC-FORMAL-001</x:v>
      </x:c>
      <x:c r="W74" s="108" t="str">
        <x:v>formal IFC inventory</x:v>
      </x:c>
      <x:c r="X74" s="108" t="str">
        <x:v>1.00</x:v>
      </x:c>
      <x:c r="Y74" s="108" t="str">
        <x:v>yes</x:v>
      </x:c>
      <x:c r="Z74" s="108" t="str">
        <x:v>ifc_inventory</x:v>
      </x:c>
      <x:c r="AA74" s="108" t="str"/>
      <x:c r="AB74" s="108" t="str">
        <x:v>对象已机械纳入覆盖；最终产品与厂家安装条件待确认</x:v>
      </x:c>
    </x:row>
    <x:row r="75" ht="34" customHeight="1">
      <x:c r="A75" s="108" t="str">
        <x:v>FURIFC-019</x:v>
      </x:c>
      <x:c r="B75" s="108" t="str">
        <x:v>FURNITURE</x:v>
      </x:c>
      <x:c r="C75" s="108" t="str">
        <x:v>IfcFurniture</x:v>
      </x:c>
      <x:c r="D75" s="108" t="str">
        <x:v>WD01</x:v>
      </x:c>
      <x:c r="E75" s="108" t="str"/>
      <x:c r="F75" s="108" t="str">
        <x:v>WD01</x:v>
      </x:c>
      <x:c r="G75" s="108" t="str"/>
      <x:c r="H75" s="108" t="str">
        <x:v>1</x:v>
      </x:c>
      <x:c r="I75" s="108" t="str">
        <x:v>existing</x:v>
      </x:c>
      <x:c r="J75" s="108" t="str">
        <x:v>ifc_observed</x:v>
      </x:c>
      <x:c r="K75" s="108" t="str"/>
      <x:c r="L75" s="108" t="str"/>
      <x:c r="M75" s="108" t="str"/>
      <x:c r="N75" s="108" t="str"/>
      <x:c r="O75" s="108" t="str">
        <x:v>no</x:v>
      </x:c>
      <x:c r="P75" s="108" t="str">
        <x:v>ifc_type_global_id</x:v>
      </x:c>
      <x:c r="Q75" s="108" t="str">
        <x:v>0vf8HbSFv9FfzysXNlGjdx</x:v>
      </x:c>
      <x:c r="R75" s="108" t="str">
        <x:v>IfcFurniture</x:v>
      </x:c>
      <x:c r="S75" s="108" t="str">
        <x:v>WD01</x:v>
      </x:c>
      <x:c r="T75" s="108" t="str">
        <x:v>0vf8HbSFv9FfzysXNlGjdx</x:v>
      </x:c>
      <x:c r="U75" s="108" t="str">
        <x:v>2mPTt7$nvBSAn28I9NWt6T</x:v>
      </x:c>
      <x:c r="V75" s="108" t="str">
        <x:v>IFC-FORMAL-001</x:v>
      </x:c>
      <x:c r="W75" s="108" t="str">
        <x:v>formal IFC inventory</x:v>
      </x:c>
      <x:c r="X75" s="108" t="str">
        <x:v>1.00</x:v>
      </x:c>
      <x:c r="Y75" s="108" t="str">
        <x:v>yes</x:v>
      </x:c>
      <x:c r="Z75" s="108" t="str">
        <x:v>ifc_inventory</x:v>
      </x:c>
      <x:c r="AA75" s="108" t="str"/>
      <x:c r="AB75" s="108" t="str">
        <x:v>对象已机械纳入覆盖；最终产品与厂家安装条件待确认</x:v>
      </x:c>
    </x:row>
    <x:row r="76" ht="34" customHeight="1">
      <x:c r="A76" s="108" t="str">
        <x:v>FURIFC-020</x:v>
      </x:c>
      <x:c r="B76" s="108" t="str">
        <x:v>FURNITURE</x:v>
      </x:c>
      <x:c r="C76" s="108" t="str">
        <x:v>IfcFurniture</x:v>
      </x:c>
      <x:c r="D76" s="108" t="str">
        <x:v>BNW900C</x:v>
      </x:c>
      <x:c r="E76" s="108" t="str"/>
      <x:c r="F76" s="108" t="str">
        <x:v>BNW900C</x:v>
      </x:c>
      <x:c r="G76" s="108" t="str"/>
      <x:c r="H76" s="108" t="str">
        <x:v>1</x:v>
      </x:c>
      <x:c r="I76" s="108" t="str">
        <x:v>existing</x:v>
      </x:c>
      <x:c r="J76" s="108" t="str">
        <x:v>ifc_observed</x:v>
      </x:c>
      <x:c r="K76" s="108" t="str"/>
      <x:c r="L76" s="108" t="str"/>
      <x:c r="M76" s="108" t="str"/>
      <x:c r="N76" s="108" t="str"/>
      <x:c r="O76" s="108" t="str">
        <x:v>no</x:v>
      </x:c>
      <x:c r="P76" s="108" t="str">
        <x:v>ifc_type_global_id</x:v>
      </x:c>
      <x:c r="Q76" s="108" t="str">
        <x:v>0xOpYDSvTERxbEte2$MDcs</x:v>
      </x:c>
      <x:c r="R76" s="108" t="str">
        <x:v>IfcFurniture</x:v>
      </x:c>
      <x:c r="S76" s="108" t="str">
        <x:v>BNW900C</x:v>
      </x:c>
      <x:c r="T76" s="108" t="str">
        <x:v>0xOpYDSvTERxbEte2$MDcs</x:v>
      </x:c>
      <x:c r="U76" s="108" t="str">
        <x:v>25drCvvZjA$xIp_iFFOLwt</x:v>
      </x:c>
      <x:c r="V76" s="108" t="str">
        <x:v>IFC-FORMAL-001</x:v>
      </x:c>
      <x:c r="W76" s="108" t="str">
        <x:v>formal IFC inventory</x:v>
      </x:c>
      <x:c r="X76" s="108" t="str">
        <x:v>1.00</x:v>
      </x:c>
      <x:c r="Y76" s="108" t="str">
        <x:v>yes</x:v>
      </x:c>
      <x:c r="Z76" s="108" t="str">
        <x:v>ifc_inventory</x:v>
      </x:c>
      <x:c r="AA76" s="108" t="str"/>
      <x:c r="AB76" s="108" t="str">
        <x:v>对象已机械纳入覆盖；最终产品与厂家安装条件待确认</x:v>
      </x:c>
    </x:row>
    <x:row r="77" ht="34" customHeight="1">
      <x:c r="A77" s="108" t="str">
        <x:v>FURIFC-021</x:v>
      </x:c>
      <x:c r="B77" s="108" t="str">
        <x:v>FURNITURE</x:v>
      </x:c>
      <x:c r="C77" s="108" t="str">
        <x:v>IfcFurniture</x:v>
      </x:c>
      <x:c r="D77" s="108" t="str">
        <x:v>SKI03</x:v>
      </x:c>
      <x:c r="E77" s="108" t="str"/>
      <x:c r="F77" s="108" t="str">
        <x:v>SKI03</x:v>
      </x:c>
      <x:c r="G77" s="108" t="str"/>
      <x:c r="H77" s="108" t="str">
        <x:v>1</x:v>
      </x:c>
      <x:c r="I77" s="108" t="str">
        <x:v>existing</x:v>
      </x:c>
      <x:c r="J77" s="108" t="str">
        <x:v>ifc_observed</x:v>
      </x:c>
      <x:c r="K77" s="108" t="str"/>
      <x:c r="L77" s="108" t="str"/>
      <x:c r="M77" s="108" t="str"/>
      <x:c r="N77" s="108" t="str"/>
      <x:c r="O77" s="108" t="str">
        <x:v>no</x:v>
      </x:c>
      <x:c r="P77" s="108" t="str">
        <x:v>ifc_type_global_id</x:v>
      </x:c>
      <x:c r="Q77" s="108" t="str">
        <x:v>10N0VctL16Bw4rZmxNwprP</x:v>
      </x:c>
      <x:c r="R77" s="108" t="str">
        <x:v>IfcFurniture</x:v>
      </x:c>
      <x:c r="S77" s="108" t="str">
        <x:v>SKI03</x:v>
      </x:c>
      <x:c r="T77" s="108" t="str">
        <x:v>10N0VctL16Bw4rZmxNwprP</x:v>
      </x:c>
      <x:c r="U77" s="108" t="str">
        <x:v>0VbFNV4pHE3QauKO$4CWcv</x:v>
      </x:c>
      <x:c r="V77" s="108" t="str">
        <x:v>IFC-FORMAL-001</x:v>
      </x:c>
      <x:c r="W77" s="108" t="str">
        <x:v>formal IFC inventory</x:v>
      </x:c>
      <x:c r="X77" s="108" t="str">
        <x:v>1.00</x:v>
      </x:c>
      <x:c r="Y77" s="108" t="str">
        <x:v>yes</x:v>
      </x:c>
      <x:c r="Z77" s="108" t="str">
        <x:v>ifc_inventory</x:v>
      </x:c>
      <x:c r="AA77" s="108" t="str"/>
      <x:c r="AB77" s="108" t="str">
        <x:v>对象已机械纳入覆盖；最终产品与厂家安装条件待确认</x:v>
      </x:c>
    </x:row>
    <x:row r="78" ht="34" customHeight="1">
      <x:c r="A78" s="108" t="str">
        <x:v>FURIFC-022</x:v>
      </x:c>
      <x:c r="B78" s="108" t="str">
        <x:v>FURNITURE</x:v>
      </x:c>
      <x:c r="C78" s="108" t="str">
        <x:v>IfcFurniture</x:v>
      </x:c>
      <x:c r="D78" s="108" t="str">
        <x:v>TAB01</x:v>
      </x:c>
      <x:c r="E78" s="108" t="str"/>
      <x:c r="F78" s="108" t="str">
        <x:v>TAB01</x:v>
      </x:c>
      <x:c r="G78" s="108" t="str"/>
      <x:c r="H78" s="108" t="str">
        <x:v>1</x:v>
      </x:c>
      <x:c r="I78" s="108" t="str">
        <x:v>existing</x:v>
      </x:c>
      <x:c r="J78" s="108" t="str">
        <x:v>ifc_observed</x:v>
      </x:c>
      <x:c r="K78" s="108" t="str"/>
      <x:c r="L78" s="108" t="str"/>
      <x:c r="M78" s="108" t="str"/>
      <x:c r="N78" s="108" t="str"/>
      <x:c r="O78" s="108" t="str">
        <x:v>no</x:v>
      </x:c>
      <x:c r="P78" s="108" t="str">
        <x:v>ifc_type_global_id</x:v>
      </x:c>
      <x:c r="Q78" s="108" t="str">
        <x:v>11dauyiM99SueiXxnVRn3$</x:v>
      </x:c>
      <x:c r="R78" s="108" t="str">
        <x:v>IfcFurniture</x:v>
      </x:c>
      <x:c r="S78" s="108" t="str">
        <x:v>TAB01</x:v>
      </x:c>
      <x:c r="T78" s="108" t="str">
        <x:v>11dauyiM99SueiXxnVRn3$</x:v>
      </x:c>
      <x:c r="U78" s="108" t="str">
        <x:v>1P9tbKJXXBlP00xtCWHNEd</x:v>
      </x:c>
      <x:c r="V78" s="108" t="str">
        <x:v>IFC-FORMAL-001</x:v>
      </x:c>
      <x:c r="W78" s="108" t="str">
        <x:v>formal IFC inventory</x:v>
      </x:c>
      <x:c r="X78" s="108" t="str">
        <x:v>1.00</x:v>
      </x:c>
      <x:c r="Y78" s="108" t="str">
        <x:v>yes</x:v>
      </x:c>
      <x:c r="Z78" s="108" t="str">
        <x:v>ifc_inventory</x:v>
      </x:c>
      <x:c r="AA78" s="108" t="str"/>
      <x:c r="AB78" s="108" t="str">
        <x:v>对象已机械纳入覆盖；最终产品与厂家安装条件待确认</x:v>
      </x:c>
    </x:row>
    <x:row r="79" ht="34" customHeight="1">
      <x:c r="A79" s="108" t="str">
        <x:v>FURIFC-023</x:v>
      </x:c>
      <x:c r="B79" s="108" t="str">
        <x:v>FURNITURE</x:v>
      </x:c>
      <x:c r="C79" s="108" t="str">
        <x:v>IfcFurniture</x:v>
      </x:c>
      <x:c r="D79" s="108" t="str">
        <x:v>POT1200</x:v>
      </x:c>
      <x:c r="E79" s="108" t="str"/>
      <x:c r="F79" s="108" t="str">
        <x:v>POT1200</x:v>
      </x:c>
      <x:c r="G79" s="108" t="str"/>
      <x:c r="H79" s="108" t="str">
        <x:v>1</x:v>
      </x:c>
      <x:c r="I79" s="108" t="str">
        <x:v>existing</x:v>
      </x:c>
      <x:c r="J79" s="108" t="str">
        <x:v>ifc_observed</x:v>
      </x:c>
      <x:c r="K79" s="108" t="str"/>
      <x:c r="L79" s="108" t="str"/>
      <x:c r="M79" s="108" t="str"/>
      <x:c r="N79" s="108" t="str"/>
      <x:c r="O79" s="108" t="str">
        <x:v>no</x:v>
      </x:c>
      <x:c r="P79" s="108" t="str">
        <x:v>ifc_type_global_id</x:v>
      </x:c>
      <x:c r="Q79" s="108" t="str">
        <x:v>14HRcOagP2bBPAPbr2NzJm</x:v>
      </x:c>
      <x:c r="R79" s="108" t="str">
        <x:v>IfcFurniture</x:v>
      </x:c>
      <x:c r="S79" s="108" t="str">
        <x:v>POT1200</x:v>
      </x:c>
      <x:c r="T79" s="108" t="str">
        <x:v>14HRcOagP2bBPAPbr2NzJm</x:v>
      </x:c>
      <x:c r="U79" s="108" t="str">
        <x:v>0NyJR9FMf6sBa1V_Jb5FkK</x:v>
      </x:c>
      <x:c r="V79" s="108" t="str">
        <x:v>IFC-FORMAL-001</x:v>
      </x:c>
      <x:c r="W79" s="108" t="str">
        <x:v>formal IFC inventory</x:v>
      </x:c>
      <x:c r="X79" s="108" t="str">
        <x:v>1.00</x:v>
      </x:c>
      <x:c r="Y79" s="108" t="str">
        <x:v>yes</x:v>
      </x:c>
      <x:c r="Z79" s="108" t="str">
        <x:v>ifc_inventory</x:v>
      </x:c>
      <x:c r="AA79" s="108" t="str"/>
      <x:c r="AB79" s="108" t="str">
        <x:v>对象已机械纳入覆盖；最终产品与厂家安装条件待确认</x:v>
      </x:c>
    </x:row>
    <x:row r="80" ht="34" customHeight="1">
      <x:c r="A80" s="108" t="str">
        <x:v>FURIFC-024</x:v>
      </x:c>
      <x:c r="B80" s="108" t="str">
        <x:v>FURNITURE</x:v>
      </x:c>
      <x:c r="C80" s="108" t="str">
        <x:v>IfcFurniture</x:v>
      </x:c>
      <x:c r="D80" s="108" t="str">
        <x:v>MiamiSoft I03</x:v>
      </x:c>
      <x:c r="E80" s="108" t="str"/>
      <x:c r="F80" s="108" t="str">
        <x:v>MiamiSoft I03</x:v>
      </x:c>
      <x:c r="G80" s="108" t="str"/>
      <x:c r="H80" s="108" t="str">
        <x:v>1</x:v>
      </x:c>
      <x:c r="I80" s="108" t="str">
        <x:v>existing</x:v>
      </x:c>
      <x:c r="J80" s="108" t="str">
        <x:v>ifc_observed</x:v>
      </x:c>
      <x:c r="K80" s="108" t="str"/>
      <x:c r="L80" s="108" t="str"/>
      <x:c r="M80" s="108" t="str"/>
      <x:c r="N80" s="108" t="str"/>
      <x:c r="O80" s="108" t="str">
        <x:v>no</x:v>
      </x:c>
      <x:c r="P80" s="108" t="str">
        <x:v>ifc_type_global_id</x:v>
      </x:c>
      <x:c r="Q80" s="108" t="str">
        <x:v>14QWF6RTj3ZR_uGJEDRG9B</x:v>
      </x:c>
      <x:c r="R80" s="108" t="str">
        <x:v>IfcFurniture</x:v>
      </x:c>
      <x:c r="S80" s="108" t="str">
        <x:v>MiamiSoft I03</x:v>
      </x:c>
      <x:c r="T80" s="108" t="str">
        <x:v>14QWF6RTj3ZR_uGJEDRG9B</x:v>
      </x:c>
      <x:c r="U80" s="108" t="str">
        <x:v>1hdNtfQRPCGfHLfqzdp6w0</x:v>
      </x:c>
      <x:c r="V80" s="108" t="str">
        <x:v>IFC-FORMAL-001</x:v>
      </x:c>
      <x:c r="W80" s="108" t="str">
        <x:v>formal IFC inventory</x:v>
      </x:c>
      <x:c r="X80" s="108" t="str">
        <x:v>1.00</x:v>
      </x:c>
      <x:c r="Y80" s="108" t="str">
        <x:v>yes</x:v>
      </x:c>
      <x:c r="Z80" s="108" t="str">
        <x:v>ifc_inventory</x:v>
      </x:c>
      <x:c r="AA80" s="108" t="str"/>
      <x:c r="AB80" s="108" t="str">
        <x:v>对象已机械纳入覆盖；最终产品与厂家安装条件待确认</x:v>
      </x:c>
    </x:row>
    <x:row r="81" ht="34" customHeight="1">
      <x:c r="A81" s="108" t="str">
        <x:v>FURIFC-025</x:v>
      </x:c>
      <x:c r="B81" s="108" t="str">
        <x:v>FURNITURE</x:v>
      </x:c>
      <x:c r="C81" s="108" t="str">
        <x:v>IfcFurniture</x:v>
      </x:c>
      <x:c r="D81" s="108" t="str">
        <x:v>BED02</x:v>
      </x:c>
      <x:c r="E81" s="108" t="str"/>
      <x:c r="F81" s="108" t="str">
        <x:v>BED02</x:v>
      </x:c>
      <x:c r="G81" s="108" t="str"/>
      <x:c r="H81" s="108" t="str">
        <x:v>1</x:v>
      </x:c>
      <x:c r="I81" s="108" t="str">
        <x:v>existing</x:v>
      </x:c>
      <x:c r="J81" s="108" t="str">
        <x:v>ifc_observed</x:v>
      </x:c>
      <x:c r="K81" s="108" t="str"/>
      <x:c r="L81" s="108" t="str"/>
      <x:c r="M81" s="108" t="str"/>
      <x:c r="N81" s="108" t="str"/>
      <x:c r="O81" s="108" t="str">
        <x:v>no</x:v>
      </x:c>
      <x:c r="P81" s="108" t="str">
        <x:v>ifc_type_global_id</x:v>
      </x:c>
      <x:c r="Q81" s="108" t="str">
        <x:v>1DMZaj_dHBO8015KF4xDYw</x:v>
      </x:c>
      <x:c r="R81" s="108" t="str">
        <x:v>IfcFurniture</x:v>
      </x:c>
      <x:c r="S81" s="108" t="str">
        <x:v>BED02</x:v>
      </x:c>
      <x:c r="T81" s="108" t="str">
        <x:v>1DMZaj_dHBO8015KF4xDYw</x:v>
      </x:c>
      <x:c r="U81" s="108" t="str">
        <x:v>1i_pqgLv9A7uuV7MjaArBW</x:v>
      </x:c>
      <x:c r="V81" s="108" t="str">
        <x:v>IFC-FORMAL-001</x:v>
      </x:c>
      <x:c r="W81" s="108" t="str">
        <x:v>formal IFC inventory</x:v>
      </x:c>
      <x:c r="X81" s="108" t="str">
        <x:v>1.00</x:v>
      </x:c>
      <x:c r="Y81" s="108" t="str">
        <x:v>yes</x:v>
      </x:c>
      <x:c r="Z81" s="108" t="str">
        <x:v>ifc_inventory</x:v>
      </x:c>
      <x:c r="AA81" s="108" t="str"/>
      <x:c r="AB81" s="108" t="str">
        <x:v>对象已机械纳入覆盖；最终产品与厂家安装条件待确认</x:v>
      </x:c>
    </x:row>
    <x:row r="82" ht="34" customHeight="1">
      <x:c r="A82" s="108" t="str">
        <x:v>FURIFC-026</x:v>
      </x:c>
      <x:c r="B82" s="108" t="str">
        <x:v>FURNITURE</x:v>
      </x:c>
      <x:c r="C82" s="108" t="str">
        <x:v>IfcFurniture</x:v>
      </x:c>
      <x:c r="D82" s="108" t="str">
        <x:v>POT600</x:v>
      </x:c>
      <x:c r="E82" s="108" t="str"/>
      <x:c r="F82" s="108" t="str">
        <x:v>POT600</x:v>
      </x:c>
      <x:c r="G82" s="108" t="str"/>
      <x:c r="H82" s="108" t="str">
        <x:v>1</x:v>
      </x:c>
      <x:c r="I82" s="108" t="str">
        <x:v>existing</x:v>
      </x:c>
      <x:c r="J82" s="108" t="str">
        <x:v>ifc_observed</x:v>
      </x:c>
      <x:c r="K82" s="108" t="str"/>
      <x:c r="L82" s="108" t="str"/>
      <x:c r="M82" s="108" t="str"/>
      <x:c r="N82" s="108" t="str"/>
      <x:c r="O82" s="108" t="str">
        <x:v>no</x:v>
      </x:c>
      <x:c r="P82" s="108" t="str">
        <x:v>ifc_type_global_id</x:v>
      </x:c>
      <x:c r="Q82" s="108" t="str">
        <x:v>1E7yDgf3934euYNHydNHTr</x:v>
      </x:c>
      <x:c r="R82" s="108" t="str">
        <x:v>IfcFurniture</x:v>
      </x:c>
      <x:c r="S82" s="108" t="str">
        <x:v>POT600</x:v>
      </x:c>
      <x:c r="T82" s="108" t="str">
        <x:v>1E7yDgf3934euYNHydNHTr</x:v>
      </x:c>
      <x:c r="U82" s="108" t="str">
        <x:v>1MXBM_4krBEgVwJi3PFF3A</x:v>
      </x:c>
      <x:c r="V82" s="108" t="str">
        <x:v>IFC-FORMAL-001</x:v>
      </x:c>
      <x:c r="W82" s="108" t="str">
        <x:v>formal IFC inventory</x:v>
      </x:c>
      <x:c r="X82" s="108" t="str">
        <x:v>1.00</x:v>
      </x:c>
      <x:c r="Y82" s="108" t="str">
        <x:v>yes</x:v>
      </x:c>
      <x:c r="Z82" s="108" t="str">
        <x:v>ifc_inventory</x:v>
      </x:c>
      <x:c r="AA82" s="108" t="str"/>
      <x:c r="AB82" s="108" t="str">
        <x:v>对象已机械纳入覆盖；最终产品与厂家安装条件待确认</x:v>
      </x:c>
    </x:row>
    <x:row r="83" ht="34" customHeight="1">
      <x:c r="A83" s="108" t="str">
        <x:v>FURIFC-027</x:v>
      </x:c>
      <x:c r="B83" s="108" t="str">
        <x:v>FURNITURE</x:v>
      </x:c>
      <x:c r="C83" s="108" t="str">
        <x:v>IfcFurniture</x:v>
      </x:c>
      <x:c r="D83" s="108" t="str">
        <x:v>Libelle</x:v>
      </x:c>
      <x:c r="E83" s="108" t="str"/>
      <x:c r="F83" s="108" t="str">
        <x:v>Libelle</x:v>
      </x:c>
      <x:c r="G83" s="108" t="str"/>
      <x:c r="H83" s="108" t="str">
        <x:v>1</x:v>
      </x:c>
      <x:c r="I83" s="108" t="str">
        <x:v>existing</x:v>
      </x:c>
      <x:c r="J83" s="108" t="str">
        <x:v>ifc_observed</x:v>
      </x:c>
      <x:c r="K83" s="108" t="str"/>
      <x:c r="L83" s="108" t="str"/>
      <x:c r="M83" s="108" t="str"/>
      <x:c r="N83" s="108" t="str"/>
      <x:c r="O83" s="108" t="str">
        <x:v>no</x:v>
      </x:c>
      <x:c r="P83" s="108" t="str">
        <x:v>ifc_type_global_id</x:v>
      </x:c>
      <x:c r="Q83" s="108" t="str">
        <x:v>1FudEC16D6iAkSWQC_7G2k</x:v>
      </x:c>
      <x:c r="R83" s="108" t="str">
        <x:v>IfcFurniture</x:v>
      </x:c>
      <x:c r="S83" s="108" t="str">
        <x:v>Libelle</x:v>
      </x:c>
      <x:c r="T83" s="108" t="str">
        <x:v>1FudEC16D6iAkSWQC_7G2k</x:v>
      </x:c>
      <x:c r="U83" s="108" t="str">
        <x:v>2Urz4772T2w8c8KKNtSUY2</x:v>
      </x:c>
      <x:c r="V83" s="108" t="str">
        <x:v>IFC-FORMAL-001</x:v>
      </x:c>
      <x:c r="W83" s="108" t="str">
        <x:v>formal IFC inventory</x:v>
      </x:c>
      <x:c r="X83" s="108" t="str">
        <x:v>1.00</x:v>
      </x:c>
      <x:c r="Y83" s="108" t="str">
        <x:v>yes</x:v>
      </x:c>
      <x:c r="Z83" s="108" t="str">
        <x:v>ifc_inventory</x:v>
      </x:c>
      <x:c r="AA83" s="108" t="str"/>
      <x:c r="AB83" s="108" t="str">
        <x:v>对象已机械纳入覆盖；最终产品与厂家安装条件待确认</x:v>
      </x:c>
    </x:row>
    <x:row r="84" ht="34" customHeight="1">
      <x:c r="A84" s="108" t="str">
        <x:v>FURIFC-028</x:v>
      </x:c>
      <x:c r="B84" s="108" t="str">
        <x:v>FURNITURE</x:v>
      </x:c>
      <x:c r="C84" s="108" t="str">
        <x:v>IfcFurniture</x:v>
      </x:c>
      <x:c r="D84" s="108" t="str">
        <x:v>BST03</x:v>
      </x:c>
      <x:c r="E84" s="108" t="str"/>
      <x:c r="F84" s="108" t="str">
        <x:v>BST03</x:v>
      </x:c>
      <x:c r="G84" s="108" t="str"/>
      <x:c r="H84" s="108" t="str">
        <x:v>1</x:v>
      </x:c>
      <x:c r="I84" s="108" t="str">
        <x:v>existing</x:v>
      </x:c>
      <x:c r="J84" s="108" t="str">
        <x:v>ifc_observed</x:v>
      </x:c>
      <x:c r="K84" s="108" t="str"/>
      <x:c r="L84" s="108" t="str"/>
      <x:c r="M84" s="108" t="str"/>
      <x:c r="N84" s="108" t="str"/>
      <x:c r="O84" s="108" t="str">
        <x:v>no</x:v>
      </x:c>
      <x:c r="P84" s="108" t="str">
        <x:v>ifc_type_global_id</x:v>
      </x:c>
      <x:c r="Q84" s="108" t="str">
        <x:v>1H0dYxOl555gbdbAoy$fYk</x:v>
      </x:c>
      <x:c r="R84" s="108" t="str">
        <x:v>IfcFurniture</x:v>
      </x:c>
      <x:c r="S84" s="108" t="str">
        <x:v>BST03</x:v>
      </x:c>
      <x:c r="T84" s="108" t="str">
        <x:v>1H0dYxOl555gbdbAoy$fYk</x:v>
      </x:c>
      <x:c r="U84" s="108" t="str">
        <x:v>1HZoxe$df4cBb4UXXH5J2S</x:v>
      </x:c>
      <x:c r="V84" s="108" t="str">
        <x:v>IFC-FORMAL-001</x:v>
      </x:c>
      <x:c r="W84" s="108" t="str">
        <x:v>formal IFC inventory</x:v>
      </x:c>
      <x:c r="X84" s="108" t="str">
        <x:v>1.00</x:v>
      </x:c>
      <x:c r="Y84" s="108" t="str">
        <x:v>yes</x:v>
      </x:c>
      <x:c r="Z84" s="108" t="str">
        <x:v>ifc_inventory</x:v>
      </x:c>
      <x:c r="AA84" s="108" t="str"/>
      <x:c r="AB84" s="108" t="str">
        <x:v>对象已机械纳入覆盖；最终产品与厂家安装条件待确认</x:v>
      </x:c>
    </x:row>
    <x:row r="85" ht="34" customHeight="1">
      <x:c r="A85" s="108" t="str">
        <x:v>FURIFC-029</x:v>
      </x:c>
      <x:c r="B85" s="108" t="str">
        <x:v>FURNITURE</x:v>
      </x:c>
      <x:c r="C85" s="108" t="str">
        <x:v>IfcFurniture</x:v>
      </x:c>
      <x:c r="D85" s="108" t="str">
        <x:v>HC01</x:v>
      </x:c>
      <x:c r="E85" s="108" t="str"/>
      <x:c r="F85" s="108" t="str">
        <x:v>HC01</x:v>
      </x:c>
      <x:c r="G85" s="108" t="str"/>
      <x:c r="H85" s="108" t="str">
        <x:v>1</x:v>
      </x:c>
      <x:c r="I85" s="108" t="str">
        <x:v>existing</x:v>
      </x:c>
      <x:c r="J85" s="108" t="str">
        <x:v>ifc_observed</x:v>
      </x:c>
      <x:c r="K85" s="108" t="str"/>
      <x:c r="L85" s="108" t="str"/>
      <x:c r="M85" s="108" t="str"/>
      <x:c r="N85" s="108" t="str"/>
      <x:c r="O85" s="108" t="str">
        <x:v>no</x:v>
      </x:c>
      <x:c r="P85" s="108" t="str">
        <x:v>ifc_type_global_id</x:v>
      </x:c>
      <x:c r="Q85" s="108" t="str">
        <x:v>1HXITqFePC2xn2YM8PPvY_</x:v>
      </x:c>
      <x:c r="R85" s="108" t="str">
        <x:v>IfcFurniture</x:v>
      </x:c>
      <x:c r="S85" s="108" t="str">
        <x:v>HC01</x:v>
      </x:c>
      <x:c r="T85" s="108" t="str">
        <x:v>1HXITqFePC2xn2YM8PPvY_</x:v>
      </x:c>
      <x:c r="U85" s="108" t="str">
        <x:v>2iMAo4woT84gCqVpuNv1yV</x:v>
      </x:c>
      <x:c r="V85" s="108" t="str">
        <x:v>IFC-FORMAL-001</x:v>
      </x:c>
      <x:c r="W85" s="108" t="str">
        <x:v>formal IFC inventory</x:v>
      </x:c>
      <x:c r="X85" s="108" t="str">
        <x:v>1.00</x:v>
      </x:c>
      <x:c r="Y85" s="108" t="str">
        <x:v>yes</x:v>
      </x:c>
      <x:c r="Z85" s="108" t="str">
        <x:v>ifc_inventory</x:v>
      </x:c>
      <x:c r="AA85" s="108" t="str"/>
      <x:c r="AB85" s="108" t="str">
        <x:v>对象已机械纳入覆盖；最终产品与厂家安装条件待确认</x:v>
      </x:c>
    </x:row>
    <x:row r="86" ht="34" customHeight="1">
      <x:c r="A86" s="108" t="str">
        <x:v>FURIFC-030</x:v>
      </x:c>
      <x:c r="B86" s="108" t="str">
        <x:v>FURNITURE</x:v>
      </x:c>
      <x:c r="C86" s="108" t="str">
        <x:v>IfcFurniture</x:v>
      </x:c>
      <x:c r="D86" s="108" t="str">
        <x:v>BST02</x:v>
      </x:c>
      <x:c r="E86" s="108" t="str"/>
      <x:c r="F86" s="108" t="str">
        <x:v>BST02</x:v>
      </x:c>
      <x:c r="G86" s="108" t="str"/>
      <x:c r="H86" s="108" t="str">
        <x:v>1</x:v>
      </x:c>
      <x:c r="I86" s="108" t="str">
        <x:v>existing</x:v>
      </x:c>
      <x:c r="J86" s="108" t="str">
        <x:v>ifc_observed</x:v>
      </x:c>
      <x:c r="K86" s="108" t="str"/>
      <x:c r="L86" s="108" t="str"/>
      <x:c r="M86" s="108" t="str"/>
      <x:c r="N86" s="108" t="str"/>
      <x:c r="O86" s="108" t="str">
        <x:v>no</x:v>
      </x:c>
      <x:c r="P86" s="108" t="str">
        <x:v>ifc_type_global_id</x:v>
      </x:c>
      <x:c r="Q86" s="108" t="str">
        <x:v>1OOnzl9Iv0OOHaA0EOe321</x:v>
      </x:c>
      <x:c r="R86" s="108" t="str">
        <x:v>IfcFurniture</x:v>
      </x:c>
      <x:c r="S86" s="108" t="str">
        <x:v>BST02</x:v>
      </x:c>
      <x:c r="T86" s="108" t="str">
        <x:v>1OOnzl9Iv0OOHaA0EOe321</x:v>
      </x:c>
      <x:c r="U86" s="108" t="str">
        <x:v>3hA0vKpcn44u4Tsx4tqiUz</x:v>
      </x:c>
      <x:c r="V86" s="108" t="str">
        <x:v>IFC-FORMAL-001</x:v>
      </x:c>
      <x:c r="W86" s="108" t="str">
        <x:v>formal IFC inventory</x:v>
      </x:c>
      <x:c r="X86" s="108" t="str">
        <x:v>1.00</x:v>
      </x:c>
      <x:c r="Y86" s="108" t="str">
        <x:v>yes</x:v>
      </x:c>
      <x:c r="Z86" s="108" t="str">
        <x:v>ifc_inventory</x:v>
      </x:c>
      <x:c r="AA86" s="108" t="str"/>
      <x:c r="AB86" s="108" t="str">
        <x:v>对象已机械纳入覆盖；最终产品与厂家安装条件待确认</x:v>
      </x:c>
    </x:row>
    <x:row r="87" ht="34" customHeight="1">
      <x:c r="A87" s="108" t="str">
        <x:v>FURIFC-031</x:v>
      </x:c>
      <x:c r="B87" s="108" t="str">
        <x:v>FURNITURE</x:v>
      </x:c>
      <x:c r="C87" s="108" t="str">
        <x:v>IfcFurniture</x:v>
      </x:c>
      <x:c r="D87" s="108" t="str">
        <x:v>BD600DW</x:v>
      </x:c>
      <x:c r="E87" s="108" t="str"/>
      <x:c r="F87" s="108" t="str">
        <x:v>BD600DW</x:v>
      </x:c>
      <x:c r="G87" s="108" t="str"/>
      <x:c r="H87" s="108" t="str">
        <x:v>2</x:v>
      </x:c>
      <x:c r="I87" s="108" t="str">
        <x:v>existing</x:v>
      </x:c>
      <x:c r="J87" s="108" t="str">
        <x:v>ifc_observed</x:v>
      </x:c>
      <x:c r="K87" s="108" t="str"/>
      <x:c r="L87" s="108" t="str"/>
      <x:c r="M87" s="108" t="str"/>
      <x:c r="N87" s="108" t="str"/>
      <x:c r="O87" s="108" t="str">
        <x:v>no</x:v>
      </x:c>
      <x:c r="P87" s="108" t="str">
        <x:v>ifc_type_global_id</x:v>
      </x:c>
      <x:c r="Q87" s="108" t="str">
        <x:v>1OenwBb8DC7fM8SB4pMN7B</x:v>
      </x:c>
      <x:c r="R87" s="108" t="str">
        <x:v>IfcFurniture</x:v>
      </x:c>
      <x:c r="S87" s="108" t="str">
        <x:v>BD600DW</x:v>
      </x:c>
      <x:c r="T87" s="108" t="str">
        <x:v>1OenwBb8DC7fM8SB4pMN7B</x:v>
      </x:c>
      <x:c r="U87" s="108" t="str">
        <x:v>3oi7zJVsn93h2bH86MGcPH;09n9MD4MP6YwWt7w8SLJlG</x:v>
      </x:c>
      <x:c r="V87" s="108" t="str">
        <x:v>IFC-FORMAL-001</x:v>
      </x:c>
      <x:c r="W87" s="108" t="str">
        <x:v>formal IFC inventory</x:v>
      </x:c>
      <x:c r="X87" s="108" t="str">
        <x:v>1.00</x:v>
      </x:c>
      <x:c r="Y87" s="108" t="str">
        <x:v>yes</x:v>
      </x:c>
      <x:c r="Z87" s="108" t="str">
        <x:v>ifc_inventory</x:v>
      </x:c>
      <x:c r="AA87" s="108" t="str"/>
      <x:c r="AB87" s="108" t="str">
        <x:v>对象已机械纳入覆盖；最终产品与厂家安装条件待确认</x:v>
      </x:c>
    </x:row>
    <x:row r="88" ht="34" customHeight="1">
      <x:c r="A88" s="108" t="str">
        <x:v>FURIFC-032</x:v>
      </x:c>
      <x:c r="B88" s="108" t="str">
        <x:v>FURNITURE</x:v>
      </x:c>
      <x:c r="C88" s="108" t="str">
        <x:v>IfcFurniture</x:v>
      </x:c>
      <x:c r="D88" s="108" t="str">
        <x:v>SB03</x:v>
      </x:c>
      <x:c r="E88" s="108" t="str"/>
      <x:c r="F88" s="108" t="str">
        <x:v>SB03</x:v>
      </x:c>
      <x:c r="G88" s="108" t="str"/>
      <x:c r="H88" s="108" t="str">
        <x:v>2</x:v>
      </x:c>
      <x:c r="I88" s="108" t="str">
        <x:v>existing</x:v>
      </x:c>
      <x:c r="J88" s="108" t="str">
        <x:v>ifc_observed</x:v>
      </x:c>
      <x:c r="K88" s="108" t="str"/>
      <x:c r="L88" s="108" t="str"/>
      <x:c r="M88" s="108" t="str"/>
      <x:c r="N88" s="108" t="str"/>
      <x:c r="O88" s="108" t="str">
        <x:v>no</x:v>
      </x:c>
      <x:c r="P88" s="108" t="str">
        <x:v>ifc_type_global_id</x:v>
      </x:c>
      <x:c r="Q88" s="108" t="str">
        <x:v>1S1E5jCav7GQNeDxcamqPs</x:v>
      </x:c>
      <x:c r="R88" s="108" t="str">
        <x:v>IfcFurniture</x:v>
      </x:c>
      <x:c r="S88" s="108" t="str">
        <x:v>SB03</x:v>
      </x:c>
      <x:c r="T88" s="108" t="str">
        <x:v>1S1E5jCav7GQNeDxcamqPs</x:v>
      </x:c>
      <x:c r="U88" s="108" t="str">
        <x:v>1rTw$leJL4QAm03neq4Ms_;1hxf4jdsL2Be5WM4fHYpIW</x:v>
      </x:c>
      <x:c r="V88" s="108" t="str">
        <x:v>IFC-FORMAL-001</x:v>
      </x:c>
      <x:c r="W88" s="108" t="str">
        <x:v>formal IFC inventory</x:v>
      </x:c>
      <x:c r="X88" s="108" t="str">
        <x:v>1.00</x:v>
      </x:c>
      <x:c r="Y88" s="108" t="str">
        <x:v>yes</x:v>
      </x:c>
      <x:c r="Z88" s="108" t="str">
        <x:v>ifc_inventory</x:v>
      </x:c>
      <x:c r="AA88" s="108" t="str"/>
      <x:c r="AB88" s="108" t="str">
        <x:v>对象已机械纳入覆盖；最终产品与厂家安装条件待确认</x:v>
      </x:c>
    </x:row>
    <x:row r="89" ht="34" customHeight="1">
      <x:c r="A89" s="108" t="str">
        <x:v>FURIFC-033</x:v>
      </x:c>
      <x:c r="B89" s="108" t="str">
        <x:v>FURNITURE</x:v>
      </x:c>
      <x:c r="C89" s="108" t="str">
        <x:v>IfcFurniture</x:v>
      </x:c>
      <x:c r="D89" s="108" t="str">
        <x:v>BN1200</x:v>
      </x:c>
      <x:c r="E89" s="108" t="str"/>
      <x:c r="F89" s="108" t="str">
        <x:v>BN1200</x:v>
      </x:c>
      <x:c r="G89" s="108" t="str"/>
      <x:c r="H89" s="108" t="str">
        <x:v>1</x:v>
      </x:c>
      <x:c r="I89" s="108" t="str">
        <x:v>existing</x:v>
      </x:c>
      <x:c r="J89" s="108" t="str">
        <x:v>ifc_observed</x:v>
      </x:c>
      <x:c r="K89" s="108" t="str"/>
      <x:c r="L89" s="108" t="str"/>
      <x:c r="M89" s="108" t="str"/>
      <x:c r="N89" s="108" t="str"/>
      <x:c r="O89" s="108" t="str">
        <x:v>no</x:v>
      </x:c>
      <x:c r="P89" s="108" t="str">
        <x:v>ifc_type_global_id</x:v>
      </x:c>
      <x:c r="Q89" s="108" t="str">
        <x:v>1f_LnY2IzEAujPTepLku9S</x:v>
      </x:c>
      <x:c r="R89" s="108" t="str">
        <x:v>IfcFurniture</x:v>
      </x:c>
      <x:c r="S89" s="108" t="str">
        <x:v>BN1200</x:v>
      </x:c>
      <x:c r="T89" s="108" t="str">
        <x:v>1f_LnY2IzEAujPTepLku9S</x:v>
      </x:c>
      <x:c r="U89" s="108" t="str">
        <x:v>2PE$0_g2r8SRhDD21$0slH</x:v>
      </x:c>
      <x:c r="V89" s="108" t="str">
        <x:v>IFC-FORMAL-001</x:v>
      </x:c>
      <x:c r="W89" s="108" t="str">
        <x:v>formal IFC inventory</x:v>
      </x:c>
      <x:c r="X89" s="108" t="str">
        <x:v>1.00</x:v>
      </x:c>
      <x:c r="Y89" s="108" t="str">
        <x:v>yes</x:v>
      </x:c>
      <x:c r="Z89" s="108" t="str">
        <x:v>ifc_inventory</x:v>
      </x:c>
      <x:c r="AA89" s="108" t="str"/>
      <x:c r="AB89" s="108" t="str">
        <x:v>对象已机械纳入覆盖；最终产品与厂家安装条件待确认</x:v>
      </x:c>
    </x:row>
    <x:row r="90" ht="34" customHeight="1">
      <x:c r="A90" s="108" t="str">
        <x:v>FURIFC-034</x:v>
      </x:c>
      <x:c r="B90" s="108" t="str">
        <x:v>FURNITURE</x:v>
      </x:c>
      <x:c r="C90" s="108" t="str">
        <x:v>IfcFurniture</x:v>
      </x:c>
      <x:c r="D90" s="108" t="str">
        <x:v>Marilyn 01</x:v>
      </x:c>
      <x:c r="E90" s="108" t="str"/>
      <x:c r="F90" s="108" t="str">
        <x:v>Marilyn 01</x:v>
      </x:c>
      <x:c r="G90" s="108" t="str"/>
      <x:c r="H90" s="108" t="str">
        <x:v>1</x:v>
      </x:c>
      <x:c r="I90" s="108" t="str">
        <x:v>existing</x:v>
      </x:c>
      <x:c r="J90" s="108" t="str">
        <x:v>ifc_observed</x:v>
      </x:c>
      <x:c r="K90" s="108" t="str"/>
      <x:c r="L90" s="108" t="str"/>
      <x:c r="M90" s="108" t="str"/>
      <x:c r="N90" s="108" t="str"/>
      <x:c r="O90" s="108" t="str">
        <x:v>no</x:v>
      </x:c>
      <x:c r="P90" s="108" t="str">
        <x:v>ifc_type_global_id</x:v>
      </x:c>
      <x:c r="Q90" s="108" t="str">
        <x:v>1iFhyr$Fj2yR5GBCxvzsuh</x:v>
      </x:c>
      <x:c r="R90" s="108" t="str">
        <x:v>IfcFurniture</x:v>
      </x:c>
      <x:c r="S90" s="108" t="str">
        <x:v>Marilyn 01</x:v>
      </x:c>
      <x:c r="T90" s="108" t="str">
        <x:v>1iFhyr$Fj2yR5GBCxvzsuh</x:v>
      </x:c>
      <x:c r="U90" s="108" t="str">
        <x:v>3l2Ji4k2H9oOTDGWYUq7uV</x:v>
      </x:c>
      <x:c r="V90" s="108" t="str">
        <x:v>IFC-FORMAL-001</x:v>
      </x:c>
      <x:c r="W90" s="108" t="str">
        <x:v>formal IFC inventory</x:v>
      </x:c>
      <x:c r="X90" s="108" t="str">
        <x:v>1.00</x:v>
      </x:c>
      <x:c r="Y90" s="108" t="str">
        <x:v>yes</x:v>
      </x:c>
      <x:c r="Z90" s="108" t="str">
        <x:v>ifc_inventory</x:v>
      </x:c>
      <x:c r="AA90" s="108" t="str"/>
      <x:c r="AB90" s="108" t="str">
        <x:v>对象已机械纳入覆盖；最终产品与厂家安装条件待确认</x:v>
      </x:c>
    </x:row>
    <x:row r="91" ht="34" customHeight="1">
      <x:c r="A91" s="108" t="str">
        <x:v>FURIFC-035</x:v>
      </x:c>
      <x:c r="B91" s="108" t="str">
        <x:v>FURNITURE</x:v>
      </x:c>
      <x:c r="C91" s="108" t="str">
        <x:v>IfcFurniture</x:v>
      </x:c>
      <x:c r="D91" s="108" t="str">
        <x:v>CHA01</x:v>
      </x:c>
      <x:c r="E91" s="108" t="str"/>
      <x:c r="F91" s="108" t="str">
        <x:v>CHA01</x:v>
      </x:c>
      <x:c r="G91" s="108" t="str"/>
      <x:c r="H91" s="108" t="str">
        <x:v>2</x:v>
      </x:c>
      <x:c r="I91" s="108" t="str">
        <x:v>existing</x:v>
      </x:c>
      <x:c r="J91" s="108" t="str">
        <x:v>ifc_observed</x:v>
      </x:c>
      <x:c r="K91" s="108" t="str"/>
      <x:c r="L91" s="108" t="str"/>
      <x:c r="M91" s="108" t="str"/>
      <x:c r="N91" s="108" t="str"/>
      <x:c r="O91" s="108" t="str">
        <x:v>no</x:v>
      </x:c>
      <x:c r="P91" s="108" t="str">
        <x:v>ifc_type_global_id</x:v>
      </x:c>
      <x:c r="Q91" s="108" t="str">
        <x:v>1lpAMZua15e9urp1oWIh4P</x:v>
      </x:c>
      <x:c r="R91" s="108" t="str">
        <x:v>IfcFurniture</x:v>
      </x:c>
      <x:c r="S91" s="108" t="str">
        <x:v>CHA01</x:v>
      </x:c>
      <x:c r="T91" s="108" t="str">
        <x:v>1lpAMZua15e9urp1oWIh4P</x:v>
      </x:c>
      <x:c r="U91" s="108" t="str">
        <x:v>1luHljRzDAhPNXxTDNu7qB;2tCmGkmFz2_Pg0jRjf3Nup</x:v>
      </x:c>
      <x:c r="V91" s="108" t="str">
        <x:v>IFC-FORMAL-001</x:v>
      </x:c>
      <x:c r="W91" s="108" t="str">
        <x:v>formal IFC inventory</x:v>
      </x:c>
      <x:c r="X91" s="108" t="str">
        <x:v>1.00</x:v>
      </x:c>
      <x:c r="Y91" s="108" t="str">
        <x:v>yes</x:v>
      </x:c>
      <x:c r="Z91" s="108" t="str">
        <x:v>ifc_inventory</x:v>
      </x:c>
      <x:c r="AA91" s="108" t="str"/>
      <x:c r="AB91" s="108" t="str">
        <x:v>对象已机械纳入覆盖；最终产品与厂家安装条件待确认</x:v>
      </x:c>
    </x:row>
    <x:row r="92" ht="34" customHeight="1">
      <x:c r="A92" s="108" t="str">
        <x:v>FURIFC-036</x:v>
      </x:c>
      <x:c r="B92" s="108" t="str">
        <x:v>FURNITURE</x:v>
      </x:c>
      <x:c r="C92" s="108" t="str">
        <x:v>IfcFurniture</x:v>
      </x:c>
      <x:c r="D92" s="108" t="str">
        <x:v>WD01L</x:v>
      </x:c>
      <x:c r="E92" s="108" t="str"/>
      <x:c r="F92" s="108" t="str">
        <x:v>WD01L</x:v>
      </x:c>
      <x:c r="G92" s="108" t="str"/>
      <x:c r="H92" s="108" t="str">
        <x:v>1</x:v>
      </x:c>
      <x:c r="I92" s="108" t="str">
        <x:v>existing</x:v>
      </x:c>
      <x:c r="J92" s="108" t="str">
        <x:v>ifc_observed</x:v>
      </x:c>
      <x:c r="K92" s="108" t="str"/>
      <x:c r="L92" s="108" t="str"/>
      <x:c r="M92" s="108" t="str"/>
      <x:c r="N92" s="108" t="str"/>
      <x:c r="O92" s="108" t="str">
        <x:v>no</x:v>
      </x:c>
      <x:c r="P92" s="108" t="str">
        <x:v>ifc_type_global_id</x:v>
      </x:c>
      <x:c r="Q92" s="108" t="str">
        <x:v>1o1OcgN2D1hfuNiGy99OEi</x:v>
      </x:c>
      <x:c r="R92" s="108" t="str">
        <x:v>IfcFurniture</x:v>
      </x:c>
      <x:c r="S92" s="108" t="str">
        <x:v>WD01L</x:v>
      </x:c>
      <x:c r="T92" s="108" t="str">
        <x:v>1o1OcgN2D1hfuNiGy99OEi</x:v>
      </x:c>
      <x:c r="U92" s="108" t="str">
        <x:v>2LN3hvkNfE$P7IVE0GkeKc</x:v>
      </x:c>
      <x:c r="V92" s="108" t="str">
        <x:v>IFC-FORMAL-001</x:v>
      </x:c>
      <x:c r="W92" s="108" t="str">
        <x:v>formal IFC inventory</x:v>
      </x:c>
      <x:c r="X92" s="108" t="str">
        <x:v>1.00</x:v>
      </x:c>
      <x:c r="Y92" s="108" t="str">
        <x:v>yes</x:v>
      </x:c>
      <x:c r="Z92" s="108" t="str">
        <x:v>ifc_inventory</x:v>
      </x:c>
      <x:c r="AA92" s="108" t="str"/>
      <x:c r="AB92" s="108" t="str">
        <x:v>对象已机械纳入覆盖；最终产品与厂家安装条件待确认</x:v>
      </x:c>
    </x:row>
    <x:row r="93" ht="34" customHeight="1">
      <x:c r="A93" s="108" t="str">
        <x:v>FURIFC-037</x:v>
      </x:c>
      <x:c r="B93" s="108" t="str">
        <x:v>FURNITURE</x:v>
      </x:c>
      <x:c r="C93" s="108" t="str">
        <x:v>IfcFurniture</x:v>
      </x:c>
      <x:c r="D93" s="108" t="str">
        <x:v>HD900</x:v>
      </x:c>
      <x:c r="E93" s="108" t="str"/>
      <x:c r="F93" s="108" t="str">
        <x:v>HD900</x:v>
      </x:c>
      <x:c r="G93" s="108" t="str"/>
      <x:c r="H93" s="108" t="str">
        <x:v>3</x:v>
      </x:c>
      <x:c r="I93" s="108" t="str">
        <x:v>existing</x:v>
      </x:c>
      <x:c r="J93" s="108" t="str">
        <x:v>ifc_observed</x:v>
      </x:c>
      <x:c r="K93" s="108" t="str"/>
      <x:c r="L93" s="108" t="str"/>
      <x:c r="M93" s="108" t="str"/>
      <x:c r="N93" s="108" t="str"/>
      <x:c r="O93" s="108" t="str">
        <x:v>no</x:v>
      </x:c>
      <x:c r="P93" s="108" t="str">
        <x:v>ifc_type_global_id</x:v>
      </x:c>
      <x:c r="Q93" s="108" t="str">
        <x:v>1o3FqbmO58C81qGCaU156V</x:v>
      </x:c>
      <x:c r="R93" s="108" t="str">
        <x:v>IfcFurniture</x:v>
      </x:c>
      <x:c r="S93" s="108" t="str">
        <x:v>HD900</x:v>
      </x:c>
      <x:c r="T93" s="108" t="str">
        <x:v>1o3FqbmO58C81qGCaU156V</x:v>
      </x:c>
      <x:c r="U93" s="108" t="str">
        <x:v>2wYNbs_Ef9TvMEPnqTIHs$;0N5uQVMzvDsOlNej5ARtSG;02IFRV8lH2DOUrX4F4N2rR</x:v>
      </x:c>
      <x:c r="V93" s="108" t="str">
        <x:v>IFC-FORMAL-001</x:v>
      </x:c>
      <x:c r="W93" s="108" t="str">
        <x:v>formal IFC inventory</x:v>
      </x:c>
      <x:c r="X93" s="108" t="str">
        <x:v>1.00</x:v>
      </x:c>
      <x:c r="Y93" s="108" t="str">
        <x:v>yes</x:v>
      </x:c>
      <x:c r="Z93" s="108" t="str">
        <x:v>ifc_inventory</x:v>
      </x:c>
      <x:c r="AA93" s="108" t="str"/>
      <x:c r="AB93" s="108" t="str">
        <x:v>对象已机械纳入覆盖；最终产品与厂家安装条件待确认</x:v>
      </x:c>
    </x:row>
    <x:row r="94" ht="34" customHeight="1">
      <x:c r="A94" s="108" t="str">
        <x:v>FURIFC-038</x:v>
      </x:c>
      <x:c r="B94" s="108" t="str">
        <x:v>FURNITURE</x:v>
      </x:c>
      <x:c r="C94" s="108" t="str">
        <x:v>IfcFurniture</x:v>
      </x:c>
      <x:c r="D94" s="108" t="str">
        <x:v>MiamiSoft H01</x:v>
      </x:c>
      <x:c r="E94" s="108" t="str"/>
      <x:c r="F94" s="108" t="str">
        <x:v>MiamiSoft H01</x:v>
      </x:c>
      <x:c r="G94" s="108" t="str"/>
      <x:c r="H94" s="108" t="str">
        <x:v>2</x:v>
      </x:c>
      <x:c r="I94" s="108" t="str">
        <x:v>existing</x:v>
      </x:c>
      <x:c r="J94" s="108" t="str">
        <x:v>ifc_observed</x:v>
      </x:c>
      <x:c r="K94" s="108" t="str"/>
      <x:c r="L94" s="108" t="str"/>
      <x:c r="M94" s="108" t="str"/>
      <x:c r="N94" s="108" t="str"/>
      <x:c r="O94" s="108" t="str">
        <x:v>no</x:v>
      </x:c>
      <x:c r="P94" s="108" t="str">
        <x:v>ifc_type_global_id</x:v>
      </x:c>
      <x:c r="Q94" s="108" t="str">
        <x:v>1qWNIXr7jDGRxldsUHtlhx</x:v>
      </x:c>
      <x:c r="R94" s="108" t="str">
        <x:v>IfcFurniture</x:v>
      </x:c>
      <x:c r="S94" s="108" t="str">
        <x:v>MiamiSoft H01</x:v>
      </x:c>
      <x:c r="T94" s="108" t="str">
        <x:v>1qWNIXr7jDGRxldsUHtlhx</x:v>
      </x:c>
      <x:c r="U94" s="108" t="str">
        <x:v>0B8rO47U14sgJ_ydZxqvs6;0b9rDAHDD2qAIQqZ8m9INg</x:v>
      </x:c>
      <x:c r="V94" s="108" t="str">
        <x:v>IFC-FORMAL-001</x:v>
      </x:c>
      <x:c r="W94" s="108" t="str">
        <x:v>formal IFC inventory</x:v>
      </x:c>
      <x:c r="X94" s="108" t="str">
        <x:v>1.00</x:v>
      </x:c>
      <x:c r="Y94" s="108" t="str">
        <x:v>yes</x:v>
      </x:c>
      <x:c r="Z94" s="108" t="str">
        <x:v>ifc_inventory</x:v>
      </x:c>
      <x:c r="AA94" s="108" t="str"/>
      <x:c r="AB94" s="108" t="str">
        <x:v>对象已机械纳入覆盖；最终产品与厂家安装条件待确认</x:v>
      </x:c>
    </x:row>
    <x:row r="95" ht="34" customHeight="1">
      <x:c r="A95" s="108" t="str">
        <x:v>FURIFC-039</x:v>
      </x:c>
      <x:c r="B95" s="108" t="str">
        <x:v>FURNITURE</x:v>
      </x:c>
      <x:c r="C95" s="108" t="str">
        <x:v>IfcFurniture</x:v>
      </x:c>
      <x:c r="D95" s="108" t="str">
        <x:v>BS1200P</x:v>
      </x:c>
      <x:c r="E95" s="108" t="str"/>
      <x:c r="F95" s="108" t="str">
        <x:v>BS1200P</x:v>
      </x:c>
      <x:c r="G95" s="108" t="str"/>
      <x:c r="H95" s="108" t="str">
        <x:v>2</x:v>
      </x:c>
      <x:c r="I95" s="108" t="str">
        <x:v>existing</x:v>
      </x:c>
      <x:c r="J95" s="108" t="str">
        <x:v>ifc_observed</x:v>
      </x:c>
      <x:c r="K95" s="108" t="str"/>
      <x:c r="L95" s="108" t="str"/>
      <x:c r="M95" s="108" t="str"/>
      <x:c r="N95" s="108" t="str"/>
      <x:c r="O95" s="108" t="str">
        <x:v>no</x:v>
      </x:c>
      <x:c r="P95" s="108" t="str">
        <x:v>ifc_type_global_id</x:v>
      </x:c>
      <x:c r="Q95" s="108" t="str">
        <x:v>1sB7oJzGDFag$XYF5dHMnQ</x:v>
      </x:c>
      <x:c r="R95" s="108" t="str">
        <x:v>IfcFurniture</x:v>
      </x:c>
      <x:c r="S95" s="108" t="str">
        <x:v>BS1200P</x:v>
      </x:c>
      <x:c r="T95" s="108" t="str">
        <x:v>1sB7oJzGDFag$XYF5dHMnQ</x:v>
      </x:c>
      <x:c r="U95" s="108" t="str">
        <x:v>1B6IEQzi53sQKQXMKDU2XE;1QPmeve6fEIhNrBYMdD2sJ</x:v>
      </x:c>
      <x:c r="V95" s="108" t="str">
        <x:v>IFC-FORMAL-001</x:v>
      </x:c>
      <x:c r="W95" s="108" t="str">
        <x:v>formal IFC inventory</x:v>
      </x:c>
      <x:c r="X95" s="108" t="str">
        <x:v>1.00</x:v>
      </x:c>
      <x:c r="Y95" s="108" t="str">
        <x:v>yes</x:v>
      </x:c>
      <x:c r="Z95" s="108" t="str">
        <x:v>ifc_inventory</x:v>
      </x:c>
      <x:c r="AA95" s="108" t="str"/>
      <x:c r="AB95" s="108" t="str">
        <x:v>对象已机械纳入覆盖；最终产品与厂家安装条件待确认</x:v>
      </x:c>
    </x:row>
    <x:row r="96" ht="34" customHeight="1">
      <x:c r="A96" s="108" t="str">
        <x:v>FURIFC-040</x:v>
      </x:c>
      <x:c r="B96" s="108" t="str">
        <x:v>FURNITURE</x:v>
      </x:c>
      <x:c r="C96" s="108" t="str">
        <x:v>IfcFurniture</x:v>
      </x:c>
      <x:c r="D96" s="108" t="str">
        <x:v>D600P</x:v>
      </x:c>
      <x:c r="E96" s="108" t="str"/>
      <x:c r="F96" s="108" t="str">
        <x:v>D600P</x:v>
      </x:c>
      <x:c r="G96" s="108" t="str"/>
      <x:c r="H96" s="108" t="str">
        <x:v>4</x:v>
      </x:c>
      <x:c r="I96" s="108" t="str">
        <x:v>existing</x:v>
      </x:c>
      <x:c r="J96" s="108" t="str">
        <x:v>ifc_observed</x:v>
      </x:c>
      <x:c r="K96" s="108" t="str"/>
      <x:c r="L96" s="108" t="str"/>
      <x:c r="M96" s="108" t="str"/>
      <x:c r="N96" s="108" t="str"/>
      <x:c r="O96" s="108" t="str">
        <x:v>no</x:v>
      </x:c>
      <x:c r="P96" s="108" t="str">
        <x:v>ifc_type_global_id</x:v>
      </x:c>
      <x:c r="Q96" s="108" t="str">
        <x:v>25GoS$9On3hgtBtp1sYUiX</x:v>
      </x:c>
      <x:c r="R96" s="108" t="str">
        <x:v>IfcFurniture</x:v>
      </x:c>
      <x:c r="S96" s="108" t="str">
        <x:v>D600P</x:v>
      </x:c>
      <x:c r="T96" s="108" t="str">
        <x:v>25GoS$9On3hgtBtp1sYUiX</x:v>
      </x:c>
      <x:c r="U96" s="108" t="str">
        <x:v>1RpVI19eXDARuMuhztB5IR;2Zjq0wICPAYAr4RNJLeesH;3vRIKiKbL9nAvF_CZkYkxA;2qhynM3rf33AQqbI129k2v</x:v>
      </x:c>
      <x:c r="V96" s="108" t="str">
        <x:v>IFC-FORMAL-001</x:v>
      </x:c>
      <x:c r="W96" s="108" t="str">
        <x:v>formal IFC inventory</x:v>
      </x:c>
      <x:c r="X96" s="108" t="str">
        <x:v>1.00</x:v>
      </x:c>
      <x:c r="Y96" s="108" t="str">
        <x:v>yes</x:v>
      </x:c>
      <x:c r="Z96" s="108" t="str">
        <x:v>ifc_inventory</x:v>
      </x:c>
      <x:c r="AA96" s="108" t="str"/>
      <x:c r="AB96" s="108" t="str">
        <x:v>对象已机械纳入覆盖；最终产品与厂家安装条件待确认</x:v>
      </x:c>
    </x:row>
    <x:row r="97" ht="34" customHeight="1">
      <x:c r="A97" s="108" t="str">
        <x:v>FURIFC-041</x:v>
      </x:c>
      <x:c r="B97" s="108" t="str">
        <x:v>FURNITURE</x:v>
      </x:c>
      <x:c r="C97" s="108" t="str">
        <x:v>IfcFurniture</x:v>
      </x:c>
      <x:c r="D97" s="108" t="str">
        <x:v>CHA02</x:v>
      </x:c>
      <x:c r="E97" s="108" t="str"/>
      <x:c r="F97" s="108" t="str">
        <x:v>CHA02</x:v>
      </x:c>
      <x:c r="G97" s="108" t="str"/>
      <x:c r="H97" s="108" t="str">
        <x:v>2</x:v>
      </x:c>
      <x:c r="I97" s="108" t="str">
        <x:v>existing</x:v>
      </x:c>
      <x:c r="J97" s="108" t="str">
        <x:v>ifc_observed</x:v>
      </x:c>
      <x:c r="K97" s="108" t="str"/>
      <x:c r="L97" s="108" t="str"/>
      <x:c r="M97" s="108" t="str"/>
      <x:c r="N97" s="108" t="str"/>
      <x:c r="O97" s="108" t="str">
        <x:v>no</x:v>
      </x:c>
      <x:c r="P97" s="108" t="str">
        <x:v>ifc_type_global_id</x:v>
      </x:c>
      <x:c r="Q97" s="108" t="str">
        <x:v>25qaYHEgjFGQCX4zZ5PXO5</x:v>
      </x:c>
      <x:c r="R97" s="108" t="str">
        <x:v>IfcFurniture</x:v>
      </x:c>
      <x:c r="S97" s="108" t="str">
        <x:v>CHA02</x:v>
      </x:c>
      <x:c r="T97" s="108" t="str">
        <x:v>25qaYHEgjFGQCX4zZ5PXO5</x:v>
      </x:c>
      <x:c r="U97" s="108" t="str">
        <x:v>3YoxxZCgbF3Ap7gztAKkcs;1GkE2YZ316gQw10Ev5DZOp</x:v>
      </x:c>
      <x:c r="V97" s="108" t="str">
        <x:v>IFC-FORMAL-001</x:v>
      </x:c>
      <x:c r="W97" s="108" t="str">
        <x:v>formal IFC inventory</x:v>
      </x:c>
      <x:c r="X97" s="108" t="str">
        <x:v>1.00</x:v>
      </x:c>
      <x:c r="Y97" s="108" t="str">
        <x:v>yes</x:v>
      </x:c>
      <x:c r="Z97" s="108" t="str">
        <x:v>ifc_inventory</x:v>
      </x:c>
      <x:c r="AA97" s="108" t="str"/>
      <x:c r="AB97" s="108" t="str">
        <x:v>对象已机械纳入覆盖；最终产品与厂家安装条件待确认</x:v>
      </x:c>
    </x:row>
    <x:row r="98" ht="34" customHeight="1">
      <x:c r="A98" s="108" t="str">
        <x:v>FURIFC-042</x:v>
      </x:c>
      <x:c r="B98" s="108" t="str">
        <x:v>FURNITURE</x:v>
      </x:c>
      <x:c r="C98" s="108" t="str">
        <x:v>IfcFurniture</x:v>
      </x:c>
      <x:c r="D98" s="108" t="str">
        <x:v>GP01</x:v>
      </x:c>
      <x:c r="E98" s="108" t="str"/>
      <x:c r="F98" s="108" t="str">
        <x:v>GP01</x:v>
      </x:c>
      <x:c r="G98" s="108" t="str"/>
      <x:c r="H98" s="108" t="str">
        <x:v>1</x:v>
      </x:c>
      <x:c r="I98" s="108" t="str">
        <x:v>existing</x:v>
      </x:c>
      <x:c r="J98" s="108" t="str">
        <x:v>ifc_observed</x:v>
      </x:c>
      <x:c r="K98" s="108" t="str"/>
      <x:c r="L98" s="108" t="str"/>
      <x:c r="M98" s="108" t="str"/>
      <x:c r="N98" s="108" t="str"/>
      <x:c r="O98" s="108" t="str">
        <x:v>no</x:v>
      </x:c>
      <x:c r="P98" s="108" t="str">
        <x:v>ifc_type_global_id</x:v>
      </x:c>
      <x:c r="Q98" s="108" t="str">
        <x:v>2Gu6ytnE5BZv31RQbNn$LX</x:v>
      </x:c>
      <x:c r="R98" s="108" t="str">
        <x:v>IfcFurniture</x:v>
      </x:c>
      <x:c r="S98" s="108" t="str">
        <x:v>GP01</x:v>
      </x:c>
      <x:c r="T98" s="108" t="str">
        <x:v>2Gu6ytnE5BZv31RQbNn$LX</x:v>
      </x:c>
      <x:c r="U98" s="108" t="str">
        <x:v>3DC1GDi6j01O$a9IjXU81p</x:v>
      </x:c>
      <x:c r="V98" s="108" t="str">
        <x:v>IFC-FORMAL-001</x:v>
      </x:c>
      <x:c r="W98" s="108" t="str">
        <x:v>formal IFC inventory</x:v>
      </x:c>
      <x:c r="X98" s="108" t="str">
        <x:v>1.00</x:v>
      </x:c>
      <x:c r="Y98" s="108" t="str">
        <x:v>yes</x:v>
      </x:c>
      <x:c r="Z98" s="108" t="str">
        <x:v>ifc_inventory</x:v>
      </x:c>
      <x:c r="AA98" s="108" t="str"/>
      <x:c r="AB98" s="108" t="str">
        <x:v>对象已机械纳入覆盖；最终产品与厂家安装条件待确认</x:v>
      </x:c>
    </x:row>
    <x:row r="99" ht="34" customHeight="1">
      <x:c r="A99" s="108" t="str">
        <x:v>FURIFC-043</x:v>
      </x:c>
      <x:c r="B99" s="108" t="str">
        <x:v>FURNITURE</x:v>
      </x:c>
      <x:c r="C99" s="108" t="str">
        <x:v>IfcFurniture</x:v>
      </x:c>
      <x:c r="D99" s="108" t="str">
        <x:v>W06L</x:v>
      </x:c>
      <x:c r="E99" s="108" t="str"/>
      <x:c r="F99" s="108" t="str">
        <x:v>W06L</x:v>
      </x:c>
      <x:c r="G99" s="108" t="str"/>
      <x:c r="H99" s="108" t="str">
        <x:v>1</x:v>
      </x:c>
      <x:c r="I99" s="108" t="str">
        <x:v>existing</x:v>
      </x:c>
      <x:c r="J99" s="108" t="str">
        <x:v>ifc_observed</x:v>
      </x:c>
      <x:c r="K99" s="108" t="str"/>
      <x:c r="L99" s="108" t="str"/>
      <x:c r="M99" s="108" t="str"/>
      <x:c r="N99" s="108" t="str"/>
      <x:c r="O99" s="108" t="str">
        <x:v>no</x:v>
      </x:c>
      <x:c r="P99" s="108" t="str">
        <x:v>ifc_type_global_id</x:v>
      </x:c>
      <x:c r="Q99" s="108" t="str">
        <x:v>2SjTg8zWL8T8_BMiOMU6jZ</x:v>
      </x:c>
      <x:c r="R99" s="108" t="str">
        <x:v>IfcFurniture</x:v>
      </x:c>
      <x:c r="S99" s="108" t="str">
        <x:v>W06L</x:v>
      </x:c>
      <x:c r="T99" s="108" t="str">
        <x:v>2SjTg8zWL8T8_BMiOMU6jZ</x:v>
      </x:c>
      <x:c r="U99" s="108" t="str">
        <x:v>2y9Xds0sP3Ph_Hx7QACT58</x:v>
      </x:c>
      <x:c r="V99" s="108" t="str">
        <x:v>IFC-FORMAL-001</x:v>
      </x:c>
      <x:c r="W99" s="108" t="str">
        <x:v>formal IFC inventory</x:v>
      </x:c>
      <x:c r="X99" s="108" t="str">
        <x:v>1.00</x:v>
      </x:c>
      <x:c r="Y99" s="108" t="str">
        <x:v>yes</x:v>
      </x:c>
      <x:c r="Z99" s="108" t="str">
        <x:v>ifc_inventory</x:v>
      </x:c>
      <x:c r="AA99" s="108" t="str"/>
      <x:c r="AB99" s="108" t="str">
        <x:v>对象已机械纳入覆盖；最终产品与厂家安装条件待确认</x:v>
      </x:c>
    </x:row>
    <x:row r="100" ht="34" customHeight="1">
      <x:c r="A100" s="108" t="str">
        <x:v>FURIFC-044</x:v>
      </x:c>
      <x:c r="B100" s="108" t="str">
        <x:v>FURNITURE</x:v>
      </x:c>
      <x:c r="C100" s="108" t="str">
        <x:v>IfcFurniture</x:v>
      </x:c>
      <x:c r="D100" s="108" t="str">
        <x:v>GP01S</x:v>
      </x:c>
      <x:c r="E100" s="108" t="str"/>
      <x:c r="F100" s="108" t="str">
        <x:v>GP01S</x:v>
      </x:c>
      <x:c r="G100" s="108" t="str"/>
      <x:c r="H100" s="108" t="str">
        <x:v>1</x:v>
      </x:c>
      <x:c r="I100" s="108" t="str">
        <x:v>existing</x:v>
      </x:c>
      <x:c r="J100" s="108" t="str">
        <x:v>ifc_observed</x:v>
      </x:c>
      <x:c r="K100" s="108" t="str"/>
      <x:c r="L100" s="108" t="str"/>
      <x:c r="M100" s="108" t="str"/>
      <x:c r="N100" s="108" t="str"/>
      <x:c r="O100" s="108" t="str">
        <x:v>no</x:v>
      </x:c>
      <x:c r="P100" s="108" t="str">
        <x:v>ifc_type_global_id</x:v>
      </x:c>
      <x:c r="Q100" s="108" t="str">
        <x:v>2UbrWquvz33OC1wGH4poXF</x:v>
      </x:c>
      <x:c r="R100" s="108" t="str">
        <x:v>IfcFurniture</x:v>
      </x:c>
      <x:c r="S100" s="108" t="str">
        <x:v>GP01S</x:v>
      </x:c>
      <x:c r="T100" s="108" t="str">
        <x:v>2UbrWquvz33OC1wGH4poXF</x:v>
      </x:c>
      <x:c r="U100" s="108" t="str">
        <x:v>03OxzOyN12ff3jkuUtjJPD</x:v>
      </x:c>
      <x:c r="V100" s="108" t="str">
        <x:v>IFC-FORMAL-001</x:v>
      </x:c>
      <x:c r="W100" s="108" t="str">
        <x:v>formal IFC inventory</x:v>
      </x:c>
      <x:c r="X100" s="108" t="str">
        <x:v>1.00</x:v>
      </x:c>
      <x:c r="Y100" s="108" t="str">
        <x:v>yes</x:v>
      </x:c>
      <x:c r="Z100" s="108" t="str">
        <x:v>ifc_inventory</x:v>
      </x:c>
      <x:c r="AA100" s="108" t="str"/>
      <x:c r="AB100" s="108" t="str">
        <x:v>对象已机械纳入覆盖；最终产品与厂家安装条件待确认</x:v>
      </x:c>
    </x:row>
    <x:row r="101" ht="34" customHeight="1">
      <x:c r="A101" s="108" t="str">
        <x:v>FURIFC-045</x:v>
      </x:c>
      <x:c r="B101" s="108" t="str">
        <x:v>FURNITURE</x:v>
      </x:c>
      <x:c r="C101" s="108" t="str">
        <x:v>IfcFurniture</x:v>
      </x:c>
      <x:c r="D101" s="108" t="str">
        <x:v>SB01</x:v>
      </x:c>
      <x:c r="E101" s="108" t="str"/>
      <x:c r="F101" s="108" t="str">
        <x:v>SB01</x:v>
      </x:c>
      <x:c r="G101" s="108" t="str"/>
      <x:c r="H101" s="108" t="str">
        <x:v>1</x:v>
      </x:c>
      <x:c r="I101" s="108" t="str">
        <x:v>existing</x:v>
      </x:c>
      <x:c r="J101" s="108" t="str">
        <x:v>ifc_observed</x:v>
      </x:c>
      <x:c r="K101" s="108" t="str"/>
      <x:c r="L101" s="108" t="str"/>
      <x:c r="M101" s="108" t="str"/>
      <x:c r="N101" s="108" t="str"/>
      <x:c r="O101" s="108" t="str">
        <x:v>no</x:v>
      </x:c>
      <x:c r="P101" s="108" t="str">
        <x:v>ifc_type_global_id</x:v>
      </x:c>
      <x:c r="Q101" s="108" t="str">
        <x:v>2dcJ_LNyf1BPdTRrKnWggm</x:v>
      </x:c>
      <x:c r="R101" s="108" t="str">
        <x:v>IfcFurniture</x:v>
      </x:c>
      <x:c r="S101" s="108" t="str">
        <x:v>SB01</x:v>
      </x:c>
      <x:c r="T101" s="108" t="str">
        <x:v>2dcJ_LNyf1BPdTRrKnWggm</x:v>
      </x:c>
      <x:c r="U101" s="108" t="str">
        <x:v>2$z307bK1B_v__FItEcqkC</x:v>
      </x:c>
      <x:c r="V101" s="108" t="str">
        <x:v>IFC-FORMAL-001</x:v>
      </x:c>
      <x:c r="W101" s="108" t="str">
        <x:v>formal IFC inventory</x:v>
      </x:c>
      <x:c r="X101" s="108" t="str">
        <x:v>1.00</x:v>
      </x:c>
      <x:c r="Y101" s="108" t="str">
        <x:v>yes</x:v>
      </x:c>
      <x:c r="Z101" s="108" t="str">
        <x:v>ifc_inventory</x:v>
      </x:c>
      <x:c r="AA101" s="108" t="str"/>
      <x:c r="AB101" s="108" t="str">
        <x:v>对象已机械纳入覆盖；最终产品与厂家安装条件待确认</x:v>
      </x:c>
    </x:row>
    <x:row r="102" ht="34" customHeight="1">
      <x:c r="A102" s="108" t="str">
        <x:v>FURIFC-046</x:v>
      </x:c>
      <x:c r="B102" s="108" t="str">
        <x:v>FURNITURE</x:v>
      </x:c>
      <x:c r="C102" s="108" t="str">
        <x:v>IfcFurniture</x:v>
      </x:c>
      <x:c r="D102" s="108" t="str">
        <x:v>HD450</x:v>
      </x:c>
      <x:c r="E102" s="108" t="str"/>
      <x:c r="F102" s="108" t="str">
        <x:v>HD450</x:v>
      </x:c>
      <x:c r="G102" s="108" t="str"/>
      <x:c r="H102" s="108" t="str">
        <x:v>3</x:v>
      </x:c>
      <x:c r="I102" s="108" t="str">
        <x:v>existing</x:v>
      </x:c>
      <x:c r="J102" s="108" t="str">
        <x:v>ifc_observed</x:v>
      </x:c>
      <x:c r="K102" s="108" t="str"/>
      <x:c r="L102" s="108" t="str"/>
      <x:c r="M102" s="108" t="str"/>
      <x:c r="N102" s="108" t="str"/>
      <x:c r="O102" s="108" t="str">
        <x:v>no</x:v>
      </x:c>
      <x:c r="P102" s="108" t="str">
        <x:v>ifc_type_global_id</x:v>
      </x:c>
      <x:c r="Q102" s="108" t="str">
        <x:v>2fe7QjlT1F3v2qJ0vuQwJ2</x:v>
      </x:c>
      <x:c r="R102" s="108" t="str">
        <x:v>IfcFurniture</x:v>
      </x:c>
      <x:c r="S102" s="108" t="str">
        <x:v>HD450</x:v>
      </x:c>
      <x:c r="T102" s="108" t="str">
        <x:v>2fe7QjlT1F3v2qJ0vuQwJ2</x:v>
      </x:c>
      <x:c r="U102" s="108" t="str">
        <x:v>3Gd5XFWpTEVQA12Tfubj6B;0D_hmxPvb3WOoXxhcnHyq6;3SN45IALL1se6tWUWfwjkR</x:v>
      </x:c>
      <x:c r="V102" s="108" t="str">
        <x:v>IFC-FORMAL-001</x:v>
      </x:c>
      <x:c r="W102" s="108" t="str">
        <x:v>formal IFC inventory</x:v>
      </x:c>
      <x:c r="X102" s="108" t="str">
        <x:v>1.00</x:v>
      </x:c>
      <x:c r="Y102" s="108" t="str">
        <x:v>yes</x:v>
      </x:c>
      <x:c r="Z102" s="108" t="str">
        <x:v>ifc_inventory</x:v>
      </x:c>
      <x:c r="AA102" s="108" t="str"/>
      <x:c r="AB102" s="108" t="str">
        <x:v>对象已机械纳入覆盖；最终产品与厂家安装条件待确认</x:v>
      </x:c>
    </x:row>
    <x:row r="103" ht="34" customHeight="1">
      <x:c r="A103" s="108" t="str">
        <x:v>FURIFC-047</x:v>
      </x:c>
      <x:c r="B103" s="108" t="str">
        <x:v>FURNITURE</x:v>
      </x:c>
      <x:c r="C103" s="108" t="str">
        <x:v>IfcFurniture</x:v>
      </x:c>
      <x:c r="D103" s="108" t="str">
        <x:v>FRI02</x:v>
      </x:c>
      <x:c r="E103" s="108" t="str"/>
      <x:c r="F103" s="108" t="str">
        <x:v>FRI02</x:v>
      </x:c>
      <x:c r="G103" s="108" t="str"/>
      <x:c r="H103" s="108" t="str">
        <x:v>1</x:v>
      </x:c>
      <x:c r="I103" s="108" t="str">
        <x:v>existing</x:v>
      </x:c>
      <x:c r="J103" s="108" t="str">
        <x:v>ifc_observed</x:v>
      </x:c>
      <x:c r="K103" s="108" t="str"/>
      <x:c r="L103" s="108" t="str"/>
      <x:c r="M103" s="108" t="str"/>
      <x:c r="N103" s="108" t="str"/>
      <x:c r="O103" s="108" t="str">
        <x:v>no</x:v>
      </x:c>
      <x:c r="P103" s="108" t="str">
        <x:v>ifc_type_global_id</x:v>
      </x:c>
      <x:c r="Q103" s="108" t="str">
        <x:v>2jJP$KOVrAuPQk4wYmAv8o</x:v>
      </x:c>
      <x:c r="R103" s="108" t="str">
        <x:v>IfcFurniture</x:v>
      </x:c>
      <x:c r="S103" s="108" t="str">
        <x:v>FRI02</x:v>
      </x:c>
      <x:c r="T103" s="108" t="str">
        <x:v>2jJP$KOVrAuPQk4wYmAv8o</x:v>
      </x:c>
      <x:c r="U103" s="108" t="str">
        <x:v>1Ra2MgEgT6XeMGzuXIxbfl</x:v>
      </x:c>
      <x:c r="V103" s="108" t="str">
        <x:v>IFC-FORMAL-001</x:v>
      </x:c>
      <x:c r="W103" s="108" t="str">
        <x:v>formal IFC inventory</x:v>
      </x:c>
      <x:c r="X103" s="108" t="str">
        <x:v>1.00</x:v>
      </x:c>
      <x:c r="Y103" s="108" t="str">
        <x:v>yes</x:v>
      </x:c>
      <x:c r="Z103" s="108" t="str">
        <x:v>ifc_inventory</x:v>
      </x:c>
      <x:c r="AA103" s="108" t="str"/>
      <x:c r="AB103" s="108" t="str">
        <x:v>对象已机械纳入覆盖；最终产品与厂家安装条件待确认</x:v>
      </x:c>
    </x:row>
    <x:row r="104" ht="34" customHeight="1">
      <x:c r="A104" s="108" t="str">
        <x:v>FURIFC-048</x:v>
      </x:c>
      <x:c r="B104" s="108" t="str">
        <x:v>FURNITURE</x:v>
      </x:c>
      <x:c r="C104" s="108" t="str">
        <x:v>IfcFurniture</x:v>
      </x:c>
      <x:c r="D104" s="108" t="str">
        <x:v>MiamiSoft E09</x:v>
      </x:c>
      <x:c r="E104" s="108" t="str"/>
      <x:c r="F104" s="108" t="str">
        <x:v>MiamiSoft E09</x:v>
      </x:c>
      <x:c r="G104" s="108" t="str"/>
      <x:c r="H104" s="108" t="str">
        <x:v>1</x:v>
      </x:c>
      <x:c r="I104" s="108" t="str">
        <x:v>existing</x:v>
      </x:c>
      <x:c r="J104" s="108" t="str">
        <x:v>ifc_observed</x:v>
      </x:c>
      <x:c r="K104" s="108" t="str"/>
      <x:c r="L104" s="108" t="str"/>
      <x:c r="M104" s="108" t="str"/>
      <x:c r="N104" s="108" t="str"/>
      <x:c r="O104" s="108" t="str">
        <x:v>no</x:v>
      </x:c>
      <x:c r="P104" s="108" t="str">
        <x:v>ifc_type_global_id</x:v>
      </x:c>
      <x:c r="Q104" s="108" t="str">
        <x:v>2wSMjhzHDAkPqKQakQLS9I</x:v>
      </x:c>
      <x:c r="R104" s="108" t="str">
        <x:v>IfcFurniture</x:v>
      </x:c>
      <x:c r="S104" s="108" t="str">
        <x:v>MiamiSoft E09</x:v>
      </x:c>
      <x:c r="T104" s="108" t="str">
        <x:v>2wSMjhzHDAkPqKQakQLS9I</x:v>
      </x:c>
      <x:c r="U104" s="108" t="str">
        <x:v>3osoWufdD1mhDDAM6lcix4</x:v>
      </x:c>
      <x:c r="V104" s="108" t="str">
        <x:v>IFC-FORMAL-001</x:v>
      </x:c>
      <x:c r="W104" s="108" t="str">
        <x:v>formal IFC inventory</x:v>
      </x:c>
      <x:c r="X104" s="108" t="str">
        <x:v>1.00</x:v>
      </x:c>
      <x:c r="Y104" s="108" t="str">
        <x:v>yes</x:v>
      </x:c>
      <x:c r="Z104" s="108" t="str">
        <x:v>ifc_inventory</x:v>
      </x:c>
      <x:c r="AA104" s="108" t="str"/>
      <x:c r="AB104" s="108" t="str">
        <x:v>对象已机械纳入覆盖；最终产品与厂家安装条件待确认</x:v>
      </x:c>
    </x:row>
    <x:row r="105" ht="34" customHeight="1">
      <x:c r="A105" s="108" t="str">
        <x:v>FURIFC-049</x:v>
      </x:c>
      <x:c r="B105" s="108" t="str">
        <x:v>FURNITURE</x:v>
      </x:c>
      <x:c r="C105" s="108" t="str">
        <x:v>IfcFurniture</x:v>
      </x:c>
      <x:c r="D105" s="108" t="str">
        <x:v>BED01</x:v>
      </x:c>
      <x:c r="E105" s="108" t="str"/>
      <x:c r="F105" s="108" t="str">
        <x:v>BED01</x:v>
      </x:c>
      <x:c r="G105" s="108" t="str"/>
      <x:c r="H105" s="108" t="str">
        <x:v>1</x:v>
      </x:c>
      <x:c r="I105" s="108" t="str">
        <x:v>existing</x:v>
      </x:c>
      <x:c r="J105" s="108" t="str">
        <x:v>ifc_observed</x:v>
      </x:c>
      <x:c r="K105" s="108" t="str"/>
      <x:c r="L105" s="108" t="str"/>
      <x:c r="M105" s="108" t="str"/>
      <x:c r="N105" s="108" t="str"/>
      <x:c r="O105" s="108" t="str">
        <x:v>no</x:v>
      </x:c>
      <x:c r="P105" s="108" t="str">
        <x:v>ifc_type_global_id</x:v>
      </x:c>
      <x:c r="Q105" s="108" t="str">
        <x:v>2zdX97uDf8WRK7i$VBiYMY</x:v>
      </x:c>
      <x:c r="R105" s="108" t="str">
        <x:v>IfcFurniture</x:v>
      </x:c>
      <x:c r="S105" s="108" t="str">
        <x:v>BED01</x:v>
      </x:c>
      <x:c r="T105" s="108" t="str">
        <x:v>2zdX97uDf8WRK7i$VBiYMY</x:v>
      </x:c>
      <x:c r="U105" s="108" t="str">
        <x:v>3IQBEqO5vDI8Z9k1Ltge_N</x:v>
      </x:c>
      <x:c r="V105" s="108" t="str">
        <x:v>IFC-FORMAL-001</x:v>
      </x:c>
      <x:c r="W105" s="108" t="str">
        <x:v>formal IFC inventory</x:v>
      </x:c>
      <x:c r="X105" s="108" t="str">
        <x:v>1.00</x:v>
      </x:c>
      <x:c r="Y105" s="108" t="str">
        <x:v>yes</x:v>
      </x:c>
      <x:c r="Z105" s="108" t="str">
        <x:v>ifc_inventory</x:v>
      </x:c>
      <x:c r="AA105" s="108" t="str"/>
      <x:c r="AB105" s="108" t="str">
        <x:v>对象已机械纳入覆盖；最终产品与厂家安装条件待确认</x:v>
      </x:c>
    </x:row>
    <x:row r="106" ht="34" customHeight="1">
      <x:c r="A106" s="108" t="str">
        <x:v>FURIFC-050</x:v>
      </x:c>
      <x:c r="B106" s="108" t="str">
        <x:v>FURNITURE</x:v>
      </x:c>
      <x:c r="C106" s="108" t="str">
        <x:v>IfcFurniture</x:v>
      </x:c>
      <x:c r="D106" s="108" t="str">
        <x:v>SIS04</x:v>
      </x:c>
      <x:c r="E106" s="108" t="str"/>
      <x:c r="F106" s="108" t="str">
        <x:v>SIS04</x:v>
      </x:c>
      <x:c r="G106" s="108" t="str"/>
      <x:c r="H106" s="108" t="str">
        <x:v>1</x:v>
      </x:c>
      <x:c r="I106" s="108" t="str">
        <x:v>existing</x:v>
      </x:c>
      <x:c r="J106" s="108" t="str">
        <x:v>ifc_observed</x:v>
      </x:c>
      <x:c r="K106" s="108" t="str"/>
      <x:c r="L106" s="108" t="str"/>
      <x:c r="M106" s="108" t="str"/>
      <x:c r="N106" s="108" t="str"/>
      <x:c r="O106" s="108" t="str">
        <x:v>no</x:v>
      </x:c>
      <x:c r="P106" s="108" t="str">
        <x:v>ifc_type_global_id</x:v>
      </x:c>
      <x:c r="Q106" s="108" t="str">
        <x:v>2ztp9Y2k58vB_PFvp3txP7</x:v>
      </x:c>
      <x:c r="R106" s="108" t="str">
        <x:v>IfcFurniture</x:v>
      </x:c>
      <x:c r="S106" s="108" t="str">
        <x:v>SIS04</x:v>
      </x:c>
      <x:c r="T106" s="108" t="str">
        <x:v>2ztp9Y2k58vB_PFvp3txP7</x:v>
      </x:c>
      <x:c r="U106" s="108" t="str">
        <x:v>1MzM8Ms2vFo8KEm503j9w2</x:v>
      </x:c>
      <x:c r="V106" s="108" t="str">
        <x:v>IFC-FORMAL-001</x:v>
      </x:c>
      <x:c r="W106" s="108" t="str">
        <x:v>formal IFC inventory</x:v>
      </x:c>
      <x:c r="X106" s="108" t="str">
        <x:v>1.00</x:v>
      </x:c>
      <x:c r="Y106" s="108" t="str">
        <x:v>yes</x:v>
      </x:c>
      <x:c r="Z106" s="108" t="str">
        <x:v>ifc_inventory</x:v>
      </x:c>
      <x:c r="AA106" s="108" t="str"/>
      <x:c r="AB106" s="108" t="str">
        <x:v>对象已机械纳入覆盖；最终产品与厂家安装条件待确认</x:v>
      </x:c>
    </x:row>
    <x:row r="107" ht="34" customHeight="1">
      <x:c r="A107" s="108" t="str">
        <x:v>FURIFC-051</x:v>
      </x:c>
      <x:c r="B107" s="108" t="str">
        <x:v>FURNITURE</x:v>
      </x:c>
      <x:c r="C107" s="108" t="str">
        <x:v>IfcFurniture</x:v>
      </x:c>
      <x:c r="D107" s="108" t="str">
        <x:v>BW900</x:v>
      </x:c>
      <x:c r="E107" s="108" t="str"/>
      <x:c r="F107" s="108" t="str">
        <x:v>BW900</x:v>
      </x:c>
      <x:c r="G107" s="108" t="str"/>
      <x:c r="H107" s="108" t="str">
        <x:v>2</x:v>
      </x:c>
      <x:c r="I107" s="108" t="str">
        <x:v>existing</x:v>
      </x:c>
      <x:c r="J107" s="108" t="str">
        <x:v>ifc_observed</x:v>
      </x:c>
      <x:c r="K107" s="108" t="str"/>
      <x:c r="L107" s="108" t="str"/>
      <x:c r="M107" s="108" t="str"/>
      <x:c r="N107" s="108" t="str"/>
      <x:c r="O107" s="108" t="str">
        <x:v>no</x:v>
      </x:c>
      <x:c r="P107" s="108" t="str">
        <x:v>ifc_type_global_id</x:v>
      </x:c>
      <x:c r="Q107" s="108" t="str">
        <x:v>30U8q_B3DAbPPCoS_vZO6V</x:v>
      </x:c>
      <x:c r="R107" s="108" t="str">
        <x:v>IfcFurniture</x:v>
      </x:c>
      <x:c r="S107" s="108" t="str">
        <x:v>BW900</x:v>
      </x:c>
      <x:c r="T107" s="108" t="str">
        <x:v>30U8q_B3DAbPPCoS_vZO6V</x:v>
      </x:c>
      <x:c r="U107" s="108" t="str">
        <x:v>33w0xYssjAauNQOhCbE0MS;3weUZWAWv7_fzNorBDCdeL</x:v>
      </x:c>
      <x:c r="V107" s="108" t="str">
        <x:v>IFC-FORMAL-001</x:v>
      </x:c>
      <x:c r="W107" s="108" t="str">
        <x:v>formal IFC inventory</x:v>
      </x:c>
      <x:c r="X107" s="108" t="str">
        <x:v>1.00</x:v>
      </x:c>
      <x:c r="Y107" s="108" t="str">
        <x:v>yes</x:v>
      </x:c>
      <x:c r="Z107" s="108" t="str">
        <x:v>ifc_inventory</x:v>
      </x:c>
      <x:c r="AA107" s="108" t="str"/>
      <x:c r="AB107" s="108" t="str">
        <x:v>对象已机械纳入覆盖；最终产品与厂家安装条件待确认</x:v>
      </x:c>
    </x:row>
    <x:row r="108" ht="34" customHeight="1">
      <x:c r="A108" s="108" t="str">
        <x:v>FURIFC-052</x:v>
      </x:c>
      <x:c r="B108" s="108" t="str">
        <x:v>FURNITURE</x:v>
      </x:c>
      <x:c r="C108" s="108" t="str">
        <x:v>IfcFurniture</x:v>
      </x:c>
      <x:c r="D108" s="108" t="str">
        <x:v>SB02</x:v>
      </x:c>
      <x:c r="E108" s="108" t="str"/>
      <x:c r="F108" s="108" t="str">
        <x:v>SB02</x:v>
      </x:c>
      <x:c r="G108" s="108" t="str"/>
      <x:c r="H108" s="108" t="str">
        <x:v>1</x:v>
      </x:c>
      <x:c r="I108" s="108" t="str">
        <x:v>existing</x:v>
      </x:c>
      <x:c r="J108" s="108" t="str">
        <x:v>ifc_observed</x:v>
      </x:c>
      <x:c r="K108" s="108" t="str"/>
      <x:c r="L108" s="108" t="str"/>
      <x:c r="M108" s="108" t="str"/>
      <x:c r="N108" s="108" t="str"/>
      <x:c r="O108" s="108" t="str">
        <x:v>no</x:v>
      </x:c>
      <x:c r="P108" s="108" t="str">
        <x:v>ifc_type_global_id</x:v>
      </x:c>
      <x:c r="Q108" s="108" t="str">
        <x:v>38lBCswRbCz9GOHDirlWel</x:v>
      </x:c>
      <x:c r="R108" s="108" t="str">
        <x:v>IfcFurniture</x:v>
      </x:c>
      <x:c r="S108" s="108" t="str">
        <x:v>SB02</x:v>
      </x:c>
      <x:c r="T108" s="108" t="str">
        <x:v>38lBCswRbCz9GOHDirlWel</x:v>
      </x:c>
      <x:c r="U108" s="108" t="str">
        <x:v>3EaO22qXv38wM47SaLX1Yk</x:v>
      </x:c>
      <x:c r="V108" s="108" t="str">
        <x:v>IFC-FORMAL-001</x:v>
      </x:c>
      <x:c r="W108" s="108" t="str">
        <x:v>formal IFC inventory</x:v>
      </x:c>
      <x:c r="X108" s="108" t="str">
        <x:v>1.00</x:v>
      </x:c>
      <x:c r="Y108" s="108" t="str">
        <x:v>yes</x:v>
      </x:c>
      <x:c r="Z108" s="108" t="str">
        <x:v>ifc_inventory</x:v>
      </x:c>
      <x:c r="AA108" s="108" t="str"/>
      <x:c r="AB108" s="108" t="str">
        <x:v>对象已机械纳入覆盖；最终产品与厂家安装条件待确认</x:v>
      </x:c>
    </x:row>
    <x:row r="109" ht="34" customHeight="1">
      <x:c r="A109" s="108" t="str">
        <x:v>FURIFC-053</x:v>
      </x:c>
      <x:c r="B109" s="108" t="str">
        <x:v>FURNITURE</x:v>
      </x:c>
      <x:c r="C109" s="108" t="str">
        <x:v>IfcFurniture</x:v>
      </x:c>
      <x:c r="D109" s="108" t="str">
        <x:v>BN900</x:v>
      </x:c>
      <x:c r="E109" s="108" t="str"/>
      <x:c r="F109" s="108" t="str">
        <x:v>BN900</x:v>
      </x:c>
      <x:c r="G109" s="108" t="str"/>
      <x:c r="H109" s="108" t="str">
        <x:v>1</x:v>
      </x:c>
      <x:c r="I109" s="108" t="str">
        <x:v>existing</x:v>
      </x:c>
      <x:c r="J109" s="108" t="str">
        <x:v>ifc_observed</x:v>
      </x:c>
      <x:c r="K109" s="108" t="str"/>
      <x:c r="L109" s="108" t="str"/>
      <x:c r="M109" s="108" t="str"/>
      <x:c r="N109" s="108" t="str"/>
      <x:c r="O109" s="108" t="str">
        <x:v>no</x:v>
      </x:c>
      <x:c r="P109" s="108" t="str">
        <x:v>ifc_type_global_id</x:v>
      </x:c>
      <x:c r="Q109" s="108" t="str">
        <x:v>3AqG1bBNH7Zx9Ibb1Svo8a</x:v>
      </x:c>
      <x:c r="R109" s="108" t="str">
        <x:v>IfcFurniture</x:v>
      </x:c>
      <x:c r="S109" s="108" t="str">
        <x:v>BN900</x:v>
      </x:c>
      <x:c r="T109" s="108" t="str">
        <x:v>3AqG1bBNH7Zx9Ibb1Svo8a</x:v>
      </x:c>
      <x:c r="U109" s="108" t="str">
        <x:v>2zI$UMamH5GwexMsI4p5LC</x:v>
      </x:c>
      <x:c r="V109" s="108" t="str">
        <x:v>IFC-FORMAL-001</x:v>
      </x:c>
      <x:c r="W109" s="108" t="str">
        <x:v>formal IFC inventory</x:v>
      </x:c>
      <x:c r="X109" s="108" t="str">
        <x:v>1.00</x:v>
      </x:c>
      <x:c r="Y109" s="108" t="str">
        <x:v>yes</x:v>
      </x:c>
      <x:c r="Z109" s="108" t="str">
        <x:v>ifc_inventory</x:v>
      </x:c>
      <x:c r="AA109" s="108" t="str"/>
      <x:c r="AB109" s="108" t="str">
        <x:v>对象已机械纳入覆盖；最终产品与厂家安装条件待确认</x:v>
      </x:c>
    </x:row>
    <x:row r="110" ht="34" customHeight="1">
      <x:c r="A110" s="108" t="str">
        <x:v>FURIFC-054</x:v>
      </x:c>
      <x:c r="B110" s="108" t="str">
        <x:v>FURNITURE</x:v>
      </x:c>
      <x:c r="C110" s="108" t="str">
        <x:v>IfcFurniture</x:v>
      </x:c>
      <x:c r="D110" s="108" t="str">
        <x:v>H08</x:v>
      </x:c>
      <x:c r="E110" s="108" t="str"/>
      <x:c r="F110" s="108" t="str">
        <x:v>H08</x:v>
      </x:c>
      <x:c r="G110" s="108" t="str"/>
      <x:c r="H110" s="108" t="str">
        <x:v>1</x:v>
      </x:c>
      <x:c r="I110" s="108" t="str">
        <x:v>existing</x:v>
      </x:c>
      <x:c r="J110" s="108" t="str">
        <x:v>ifc_observed</x:v>
      </x:c>
      <x:c r="K110" s="108" t="str"/>
      <x:c r="L110" s="108" t="str"/>
      <x:c r="M110" s="108" t="str"/>
      <x:c r="N110" s="108" t="str"/>
      <x:c r="O110" s="108" t="str">
        <x:v>no</x:v>
      </x:c>
      <x:c r="P110" s="108" t="str">
        <x:v>ifc_type_global_id</x:v>
      </x:c>
      <x:c r="Q110" s="108" t="str">
        <x:v>3Dts$eQjz5VhYQTsA_pWEo</x:v>
      </x:c>
      <x:c r="R110" s="108" t="str">
        <x:v>IfcFurniture</x:v>
      </x:c>
      <x:c r="S110" s="108" t="str">
        <x:v>H08</x:v>
      </x:c>
      <x:c r="T110" s="108" t="str">
        <x:v>3Dts$eQjz5VhYQTsA_pWEo</x:v>
      </x:c>
      <x:c r="U110" s="108" t="str">
        <x:v>3EDJXqkTT35fbtmsPhcnea</x:v>
      </x:c>
      <x:c r="V110" s="108" t="str">
        <x:v>IFC-FORMAL-001</x:v>
      </x:c>
      <x:c r="W110" s="108" t="str">
        <x:v>formal IFC inventory</x:v>
      </x:c>
      <x:c r="X110" s="108" t="str">
        <x:v>1.00</x:v>
      </x:c>
      <x:c r="Y110" s="108" t="str">
        <x:v>yes</x:v>
      </x:c>
      <x:c r="Z110" s="108" t="str">
        <x:v>ifc_inventory</x:v>
      </x:c>
      <x:c r="AA110" s="108" t="str"/>
      <x:c r="AB110" s="108" t="str">
        <x:v>对象已机械纳入覆盖；最终产品与厂家安装条件待确认</x:v>
      </x:c>
    </x:row>
    <x:row r="111" ht="34" customHeight="1">
      <x:c r="A111" s="108" t="str">
        <x:v>FURIFC-055</x:v>
      </x:c>
      <x:c r="B111" s="108" t="str">
        <x:v>FURNITURE</x:v>
      </x:c>
      <x:c r="C111" s="108" t="str">
        <x:v>IfcFurniture</x:v>
      </x:c>
      <x:c r="D111" s="108" t="str">
        <x:v>FRE01</x:v>
      </x:c>
      <x:c r="E111" s="108" t="str"/>
      <x:c r="F111" s="108" t="str">
        <x:v>FRE01</x:v>
      </x:c>
      <x:c r="G111" s="108" t="str"/>
      <x:c r="H111" s="108" t="str">
        <x:v>1</x:v>
      </x:c>
      <x:c r="I111" s="108" t="str">
        <x:v>existing</x:v>
      </x:c>
      <x:c r="J111" s="108" t="str">
        <x:v>ifc_observed</x:v>
      </x:c>
      <x:c r="K111" s="108" t="str"/>
      <x:c r="L111" s="108" t="str"/>
      <x:c r="M111" s="108" t="str"/>
      <x:c r="N111" s="108" t="str"/>
      <x:c r="O111" s="108" t="str">
        <x:v>no</x:v>
      </x:c>
      <x:c r="P111" s="108" t="str">
        <x:v>ifc_type_global_id</x:v>
      </x:c>
      <x:c r="Q111" s="108" t="str">
        <x:v>3FCXdgvGb6jAn0JcrWjnei</x:v>
      </x:c>
      <x:c r="R111" s="108" t="str">
        <x:v>IfcFurniture</x:v>
      </x:c>
      <x:c r="S111" s="108" t="str">
        <x:v>FRE01</x:v>
      </x:c>
      <x:c r="T111" s="108" t="str">
        <x:v>3FCXdgvGb6jAn0JcrWjnei</x:v>
      </x:c>
      <x:c r="U111" s="108" t="str">
        <x:v>3GQ9dmskr9YeZ2vmNXn9Vs</x:v>
      </x:c>
      <x:c r="V111" s="108" t="str">
        <x:v>IFC-FORMAL-001</x:v>
      </x:c>
      <x:c r="W111" s="108" t="str">
        <x:v>formal IFC inventory</x:v>
      </x:c>
      <x:c r="X111" s="108" t="str">
        <x:v>1.00</x:v>
      </x:c>
      <x:c r="Y111" s="108" t="str">
        <x:v>yes</x:v>
      </x:c>
      <x:c r="Z111" s="108" t="str">
        <x:v>ifc_inventory</x:v>
      </x:c>
      <x:c r="AA111" s="108" t="str"/>
      <x:c r="AB111" s="108" t="str">
        <x:v>对象已机械纳入覆盖；最终产品与厂家安装条件待确认</x:v>
      </x:c>
    </x:row>
    <x:row r="112" ht="34" customHeight="1">
      <x:c r="A112" s="108" t="str">
        <x:v>FURIFC-056</x:v>
      </x:c>
      <x:c r="B112" s="108" t="str">
        <x:v>FURNITURE</x:v>
      </x:c>
      <x:c r="C112" s="108" t="str">
        <x:v>IfcFurniture</x:v>
      </x:c>
      <x:c r="D112" s="108" t="str">
        <x:v>FRE02</x:v>
      </x:c>
      <x:c r="E112" s="108" t="str"/>
      <x:c r="F112" s="108" t="str">
        <x:v>FRE02</x:v>
      </x:c>
      <x:c r="G112" s="108" t="str"/>
      <x:c r="H112" s="108" t="str">
        <x:v>1</x:v>
      </x:c>
      <x:c r="I112" s="108" t="str">
        <x:v>existing</x:v>
      </x:c>
      <x:c r="J112" s="108" t="str">
        <x:v>ifc_observed</x:v>
      </x:c>
      <x:c r="K112" s="108" t="str"/>
      <x:c r="L112" s="108" t="str"/>
      <x:c r="M112" s="108" t="str"/>
      <x:c r="N112" s="108" t="str"/>
      <x:c r="O112" s="108" t="str">
        <x:v>no</x:v>
      </x:c>
      <x:c r="P112" s="108" t="str">
        <x:v>ifc_type_global_id</x:v>
      </x:c>
      <x:c r="Q112" s="108" t="str">
        <x:v>3JnuOP9R19RuNoGzZnW6h6</x:v>
      </x:c>
      <x:c r="R112" s="108" t="str">
        <x:v>IfcFurniture</x:v>
      </x:c>
      <x:c r="S112" s="108" t="str">
        <x:v>FRE02</x:v>
      </x:c>
      <x:c r="T112" s="108" t="str">
        <x:v>3JnuOP9R19RuNoGzZnW6h6</x:v>
      </x:c>
      <x:c r="U112" s="108" t="str">
        <x:v>24d7ofvFTBex9rCCHh3Tsm</x:v>
      </x:c>
      <x:c r="V112" s="108" t="str">
        <x:v>IFC-FORMAL-001</x:v>
      </x:c>
      <x:c r="W112" s="108" t="str">
        <x:v>formal IFC inventory</x:v>
      </x:c>
      <x:c r="X112" s="108" t="str">
        <x:v>1.00</x:v>
      </x:c>
      <x:c r="Y112" s="108" t="str">
        <x:v>yes</x:v>
      </x:c>
      <x:c r="Z112" s="108" t="str">
        <x:v>ifc_inventory</x:v>
      </x:c>
      <x:c r="AA112" s="108" t="str"/>
      <x:c r="AB112" s="108" t="str">
        <x:v>对象已机械纳入覆盖；最终产品与厂家安装条件待确认</x:v>
      </x:c>
    </x:row>
    <x:row r="113" ht="34" customHeight="1">
      <x:c r="A113" s="108" t="str">
        <x:v>FURIFC-057</x:v>
      </x:c>
      <x:c r="B113" s="108" t="str">
        <x:v>FURNITURE</x:v>
      </x:c>
      <x:c r="C113" s="108" t="str">
        <x:v>IfcFurniture</x:v>
      </x:c>
      <x:c r="D113" s="108" t="str">
        <x:v>BW1200</x:v>
      </x:c>
      <x:c r="E113" s="108" t="str"/>
      <x:c r="F113" s="108" t="str">
        <x:v>BW1200</x:v>
      </x:c>
      <x:c r="G113" s="108" t="str"/>
      <x:c r="H113" s="108" t="str">
        <x:v>1</x:v>
      </x:c>
      <x:c r="I113" s="108" t="str">
        <x:v>existing</x:v>
      </x:c>
      <x:c r="J113" s="108" t="str">
        <x:v>ifc_observed</x:v>
      </x:c>
      <x:c r="K113" s="108" t="str"/>
      <x:c r="L113" s="108" t="str"/>
      <x:c r="M113" s="108" t="str"/>
      <x:c r="N113" s="108" t="str"/>
      <x:c r="O113" s="108" t="str">
        <x:v>no</x:v>
      </x:c>
      <x:c r="P113" s="108" t="str">
        <x:v>ifc_type_global_id</x:v>
      </x:c>
      <x:c r="Q113" s="108" t="str">
        <x:v>3K7dfwR4n5SevSablN2U16</x:v>
      </x:c>
      <x:c r="R113" s="108" t="str">
        <x:v>IfcFurniture</x:v>
      </x:c>
      <x:c r="S113" s="108" t="str">
        <x:v>BW1200</x:v>
      </x:c>
      <x:c r="T113" s="108" t="str">
        <x:v>3K7dfwR4n5SevSablN2U16</x:v>
      </x:c>
      <x:c r="U113" s="108" t="str">
        <x:v>3W49YFIC1BfgfuUQBU6ylN</x:v>
      </x:c>
      <x:c r="V113" s="108" t="str">
        <x:v>IFC-FORMAL-001</x:v>
      </x:c>
      <x:c r="W113" s="108" t="str">
        <x:v>formal IFC inventory</x:v>
      </x:c>
      <x:c r="X113" s="108" t="str">
        <x:v>1.00</x:v>
      </x:c>
      <x:c r="Y113" s="108" t="str">
        <x:v>yes</x:v>
      </x:c>
      <x:c r="Z113" s="108" t="str">
        <x:v>ifc_inventory</x:v>
      </x:c>
      <x:c r="AA113" s="108" t="str"/>
      <x:c r="AB113" s="108" t="str">
        <x:v>对象已机械纳入覆盖；最终产品与厂家安装条件待确认</x:v>
      </x:c>
    </x:row>
    <x:row r="114" ht="34" customHeight="1">
      <x:c r="A114" s="108" t="str">
        <x:v>FURIFC-058</x:v>
      </x:c>
      <x:c r="B114" s="108" t="str">
        <x:v>FURNITURE</x:v>
      </x:c>
      <x:c r="C114" s="108" t="str">
        <x:v>IfcFurniture</x:v>
      </x:c>
      <x:c r="D114" s="108" t="str">
        <x:v>CAB-A</x:v>
      </x:c>
      <x:c r="E114" s="108" t="str"/>
      <x:c r="F114" s="108" t="str">
        <x:v>CAB-A</x:v>
      </x:c>
      <x:c r="G114" s="108" t="str"/>
      <x:c r="H114" s="108" t="str">
        <x:v>1</x:v>
      </x:c>
      <x:c r="I114" s="108" t="str">
        <x:v>existing</x:v>
      </x:c>
      <x:c r="J114" s="108" t="str">
        <x:v>ifc_observed</x:v>
      </x:c>
      <x:c r="K114" s="108" t="str"/>
      <x:c r="L114" s="108" t="str"/>
      <x:c r="M114" s="108" t="str"/>
      <x:c r="N114" s="108" t="str"/>
      <x:c r="O114" s="108" t="str">
        <x:v>no</x:v>
      </x:c>
      <x:c r="P114" s="108" t="str">
        <x:v>ifc_type_global_id</x:v>
      </x:c>
      <x:c r="Q114" s="108" t="str">
        <x:v>3MEQbKPS505vfQZKClZfGT</x:v>
      </x:c>
      <x:c r="R114" s="108" t="str">
        <x:v>IfcFurniture</x:v>
      </x:c>
      <x:c r="S114" s="108" t="str">
        <x:v>CAB-A</x:v>
      </x:c>
      <x:c r="T114" s="108" t="str">
        <x:v>3MEQbKPS505vfQZKClZfGT</x:v>
      </x:c>
      <x:c r="U114" s="108" t="str">
        <x:v>1cnIoVZAb8rvfUR$FD624T</x:v>
      </x:c>
      <x:c r="V114" s="108" t="str">
        <x:v>IFC-FORMAL-001</x:v>
      </x:c>
      <x:c r="W114" s="108" t="str">
        <x:v>formal IFC inventory</x:v>
      </x:c>
      <x:c r="X114" s="108" t="str">
        <x:v>1.00</x:v>
      </x:c>
      <x:c r="Y114" s="108" t="str">
        <x:v>yes</x:v>
      </x:c>
      <x:c r="Z114" s="108" t="str">
        <x:v>ifc_inventory</x:v>
      </x:c>
      <x:c r="AA114" s="108" t="str"/>
      <x:c r="AB114" s="108" t="str">
        <x:v>对象已机械纳入覆盖；最终产品与厂家安装条件待确认</x:v>
      </x:c>
    </x:row>
    <x:row r="115" ht="34" customHeight="1">
      <x:c r="A115" s="108" t="str">
        <x:v>FURIFC-059</x:v>
      </x:c>
      <x:c r="B115" s="108" t="str">
        <x:v>FURNITURE</x:v>
      </x:c>
      <x:c r="C115" s="108" t="str">
        <x:v>IfcFurniture</x:v>
      </x:c>
      <x:c r="D115" s="108" t="str">
        <x:v>WD02</x:v>
      </x:c>
      <x:c r="E115" s="108" t="str"/>
      <x:c r="F115" s="108" t="str">
        <x:v>WD02</x:v>
      </x:c>
      <x:c r="G115" s="108" t="str"/>
      <x:c r="H115" s="108" t="str">
        <x:v>1</x:v>
      </x:c>
      <x:c r="I115" s="108" t="str">
        <x:v>existing</x:v>
      </x:c>
      <x:c r="J115" s="108" t="str">
        <x:v>ifc_observed</x:v>
      </x:c>
      <x:c r="K115" s="108" t="str"/>
      <x:c r="L115" s="108" t="str"/>
      <x:c r="M115" s="108" t="str"/>
      <x:c r="N115" s="108" t="str"/>
      <x:c r="O115" s="108" t="str">
        <x:v>no</x:v>
      </x:c>
      <x:c r="P115" s="108" t="str">
        <x:v>ifc_type_global_id</x:v>
      </x:c>
      <x:c r="Q115" s="108" t="str">
        <x:v>3Xia__Mm57iv5rlzD9v6Yn</x:v>
      </x:c>
      <x:c r="R115" s="108" t="str">
        <x:v>IfcFurniture</x:v>
      </x:c>
      <x:c r="S115" s="108" t="str">
        <x:v>WD02</x:v>
      </x:c>
      <x:c r="T115" s="108" t="str">
        <x:v>3Xia__Mm57iv5rlzD9v6Yn</x:v>
      </x:c>
      <x:c r="U115" s="108" t="str">
        <x:v>3yuXF4PtnBHgIXDlmXFJ$7</x:v>
      </x:c>
      <x:c r="V115" s="108" t="str">
        <x:v>IFC-FORMAL-001</x:v>
      </x:c>
      <x:c r="W115" s="108" t="str">
        <x:v>formal IFC inventory</x:v>
      </x:c>
      <x:c r="X115" s="108" t="str">
        <x:v>1.00</x:v>
      </x:c>
      <x:c r="Y115" s="108" t="str">
        <x:v>yes</x:v>
      </x:c>
      <x:c r="Z115" s="108" t="str">
        <x:v>ifc_inventory</x:v>
      </x:c>
      <x:c r="AA115" s="108" t="str"/>
      <x:c r="AB115" s="108" t="str">
        <x:v>对象已机械纳入覆盖；最终产品与厂家安装条件待确认</x:v>
      </x:c>
    </x:row>
    <x:row r="116" ht="34" customHeight="1">
      <x:c r="A116" s="108" t="str">
        <x:v>FURIFC-060</x:v>
      </x:c>
      <x:c r="B116" s="108" t="str">
        <x:v>FURNITURE</x:v>
      </x:c>
      <x:c r="C116" s="108" t="str">
        <x:v>IfcFurniture</x:v>
      </x:c>
      <x:c r="D116" s="108" t="str">
        <x:v>HL</x:v>
      </x:c>
      <x:c r="E116" s="108" t="str"/>
      <x:c r="F116" s="108" t="str">
        <x:v>HL</x:v>
      </x:c>
      <x:c r="G116" s="108" t="str"/>
      <x:c r="H116" s="108" t="str">
        <x:v>1</x:v>
      </x:c>
      <x:c r="I116" s="108" t="str">
        <x:v>existing</x:v>
      </x:c>
      <x:c r="J116" s="108" t="str">
        <x:v>ifc_observed</x:v>
      </x:c>
      <x:c r="K116" s="108" t="str"/>
      <x:c r="L116" s="108" t="str"/>
      <x:c r="M116" s="108" t="str"/>
      <x:c r="N116" s="108" t="str"/>
      <x:c r="O116" s="108" t="str">
        <x:v>no</x:v>
      </x:c>
      <x:c r="P116" s="108" t="str">
        <x:v>ifc_type_global_id</x:v>
      </x:c>
      <x:c r="Q116" s="108" t="str">
        <x:v>3YSHXN3XvFGvh$VN7jdcGA</x:v>
      </x:c>
      <x:c r="R116" s="108" t="str">
        <x:v>IfcFurniture</x:v>
      </x:c>
      <x:c r="S116" s="108" t="str">
        <x:v>HL</x:v>
      </x:c>
      <x:c r="T116" s="108" t="str">
        <x:v>3YSHXN3XvFGvh$VN7jdcGA</x:v>
      </x:c>
      <x:c r="U116" s="108" t="str">
        <x:v>28x_EpoH5EIQqAq1LbXGvj</x:v>
      </x:c>
      <x:c r="V116" s="108" t="str">
        <x:v>IFC-FORMAL-001</x:v>
      </x:c>
      <x:c r="W116" s="108" t="str">
        <x:v>formal IFC inventory</x:v>
      </x:c>
      <x:c r="X116" s="108" t="str">
        <x:v>1.00</x:v>
      </x:c>
      <x:c r="Y116" s="108" t="str">
        <x:v>yes</x:v>
      </x:c>
      <x:c r="Z116" s="108" t="str">
        <x:v>ifc_inventory</x:v>
      </x:c>
      <x:c r="AA116" s="108" t="str"/>
      <x:c r="AB116" s="108" t="str">
        <x:v>对象已机械纳入覆盖；最终产品与厂家安装条件待确认</x:v>
      </x:c>
    </x:row>
    <x:row r="117" ht="34" customHeight="1">
      <x:c r="A117" s="108" t="str">
        <x:v>FURIFC-061</x:v>
      </x:c>
      <x:c r="B117" s="108" t="str">
        <x:v>FURNITURE</x:v>
      </x:c>
      <x:c r="C117" s="108" t="str">
        <x:v>IfcFurniture</x:v>
      </x:c>
      <x:c r="D117" s="108" t="str">
        <x:v>SHE01</x:v>
      </x:c>
      <x:c r="E117" s="108" t="str"/>
      <x:c r="F117" s="108" t="str">
        <x:v>SHE01</x:v>
      </x:c>
      <x:c r="G117" s="108" t="str"/>
      <x:c r="H117" s="108" t="str">
        <x:v>2</x:v>
      </x:c>
      <x:c r="I117" s="108" t="str">
        <x:v>existing</x:v>
      </x:c>
      <x:c r="J117" s="108" t="str">
        <x:v>ifc_observed</x:v>
      </x:c>
      <x:c r="K117" s="108" t="str"/>
      <x:c r="L117" s="108" t="str"/>
      <x:c r="M117" s="108" t="str"/>
      <x:c r="N117" s="108" t="str"/>
      <x:c r="O117" s="108" t="str">
        <x:v>no</x:v>
      </x:c>
      <x:c r="P117" s="108" t="str">
        <x:v>ifc_type_global_id</x:v>
      </x:c>
      <x:c r="Q117" s="108" t="str">
        <x:v>3erXbcQWHCt8x59$W3bG_Q</x:v>
      </x:c>
      <x:c r="R117" s="108" t="str">
        <x:v>IfcFurniture</x:v>
      </x:c>
      <x:c r="S117" s="108" t="str">
        <x:v>SHE01</x:v>
      </x:c>
      <x:c r="T117" s="108" t="str">
        <x:v>3erXbcQWHCt8x59$W3bG_Q</x:v>
      </x:c>
      <x:c r="U117" s="108" t="str">
        <x:v>3UYImQPLf1uu3JCcET1_6C;0whsxXmfbD19z3Z9JaiItG</x:v>
      </x:c>
      <x:c r="V117" s="108" t="str">
        <x:v>IFC-FORMAL-001</x:v>
      </x:c>
      <x:c r="W117" s="108" t="str">
        <x:v>formal IFC inventory</x:v>
      </x:c>
      <x:c r="X117" s="108" t="str">
        <x:v>1.00</x:v>
      </x:c>
      <x:c r="Y117" s="108" t="str">
        <x:v>yes</x:v>
      </x:c>
      <x:c r="Z117" s="108" t="str">
        <x:v>ifc_inventory</x:v>
      </x:c>
      <x:c r="AA117" s="108" t="str"/>
      <x:c r="AB117" s="108" t="str">
        <x:v>对象已机械纳入覆盖；最终产品与厂家安装条件待确认</x:v>
      </x:c>
    </x:row>
    <x:row r="118" ht="34" customHeight="1">
      <x:c r="A118" s="108" t="str">
        <x:v>FURIFC-062</x:v>
      </x:c>
      <x:c r="B118" s="108" t="str">
        <x:v>FURNITURE</x:v>
      </x:c>
      <x:c r="C118" s="108" t="str">
        <x:v>IfcFurniture</x:v>
      </x:c>
      <x:c r="D118" s="108" t="str">
        <x:v>BD600P</x:v>
      </x:c>
      <x:c r="E118" s="108" t="str"/>
      <x:c r="F118" s="108" t="str">
        <x:v>BD600P</x:v>
      </x:c>
      <x:c r="G118" s="108" t="str"/>
      <x:c r="H118" s="108" t="str">
        <x:v>2</x:v>
      </x:c>
      <x:c r="I118" s="108" t="str">
        <x:v>existing</x:v>
      </x:c>
      <x:c r="J118" s="108" t="str">
        <x:v>ifc_observed</x:v>
      </x:c>
      <x:c r="K118" s="108" t="str"/>
      <x:c r="L118" s="108" t="str"/>
      <x:c r="M118" s="108" t="str"/>
      <x:c r="N118" s="108" t="str"/>
      <x:c r="O118" s="108" t="str">
        <x:v>no</x:v>
      </x:c>
      <x:c r="P118" s="108" t="str">
        <x:v>ifc_type_global_id</x:v>
      </x:c>
      <x:c r="Q118" s="108" t="str">
        <x:v>3g7xXgncD2B9GTVuYa3943</x:v>
      </x:c>
      <x:c r="R118" s="108" t="str">
        <x:v>IfcFurniture</x:v>
      </x:c>
      <x:c r="S118" s="108" t="str">
        <x:v>BD600P</x:v>
      </x:c>
      <x:c r="T118" s="108" t="str">
        <x:v>3g7xXgncD2B9GTVuYa3943</x:v>
      </x:c>
      <x:c r="U118" s="108" t="str">
        <x:v>0etjVZleH2DvGnYhJm0BCK;1OU00zHknFfQOKVh$gmE1r</x:v>
      </x:c>
      <x:c r="V118" s="108" t="str">
        <x:v>IFC-FORMAL-001</x:v>
      </x:c>
      <x:c r="W118" s="108" t="str">
        <x:v>formal IFC inventory</x:v>
      </x:c>
      <x:c r="X118" s="108" t="str">
        <x:v>1.00</x:v>
      </x:c>
      <x:c r="Y118" s="108" t="str">
        <x:v>yes</x:v>
      </x:c>
      <x:c r="Z118" s="108" t="str">
        <x:v>ifc_inventory</x:v>
      </x:c>
      <x:c r="AA118" s="108" t="str"/>
      <x:c r="AB118" s="108" t="str">
        <x:v>对象已机械纳入覆盖；最终产品与厂家安装条件待确认</x:v>
      </x:c>
    </x:row>
    <x:row r="119" ht="34" customHeight="1">
      <x:c r="A119" s="108" t="str">
        <x:v>FURIFC-063</x:v>
      </x:c>
      <x:c r="B119" s="108" t="str">
        <x:v>FURNITURE</x:v>
      </x:c>
      <x:c r="C119" s="108" t="str">
        <x:v>IfcFurniture</x:v>
      </x:c>
      <x:c r="D119" s="108" t="str">
        <x:v>HP</x:v>
      </x:c>
      <x:c r="E119" s="108" t="str"/>
      <x:c r="F119" s="108" t="str">
        <x:v>HP</x:v>
      </x:c>
      <x:c r="G119" s="108" t="str"/>
      <x:c r="H119" s="108" t="str">
        <x:v>1</x:v>
      </x:c>
      <x:c r="I119" s="108" t="str">
        <x:v>existing</x:v>
      </x:c>
      <x:c r="J119" s="108" t="str">
        <x:v>ifc_observed</x:v>
      </x:c>
      <x:c r="K119" s="108" t="str"/>
      <x:c r="L119" s="108" t="str"/>
      <x:c r="M119" s="108" t="str"/>
      <x:c r="N119" s="108" t="str"/>
      <x:c r="O119" s="108" t="str">
        <x:v>no</x:v>
      </x:c>
      <x:c r="P119" s="108" t="str">
        <x:v>ifc_type_global_id</x:v>
      </x:c>
      <x:c r="Q119" s="108" t="str">
        <x:v>3z4Trh1qT6H8bTocgwoJOe</x:v>
      </x:c>
      <x:c r="R119" s="108" t="str">
        <x:v>IfcFurniture</x:v>
      </x:c>
      <x:c r="S119" s="108" t="str">
        <x:v>HP</x:v>
      </x:c>
      <x:c r="T119" s="108" t="str">
        <x:v>3z4Trh1qT6H8bTocgwoJOe</x:v>
      </x:c>
      <x:c r="U119" s="108" t="str">
        <x:v>3$pRSkBwj3GBEWO3wFtT$p</x:v>
      </x:c>
      <x:c r="V119" s="108" t="str">
        <x:v>IFC-FORMAL-001</x:v>
      </x:c>
      <x:c r="W119" s="108" t="str">
        <x:v>formal IFC inventory</x:v>
      </x:c>
      <x:c r="X119" s="108" t="str">
        <x:v>1.00</x:v>
      </x:c>
      <x:c r="Y119" s="108" t="str">
        <x:v>yes</x:v>
      </x:c>
      <x:c r="Z119" s="108" t="str">
        <x:v>ifc_inventory</x:v>
      </x:c>
      <x:c r="AA119" s="108" t="str"/>
      <x:c r="AB119" s="108" t="str">
        <x:v>对象已机械纳入覆盖；最终产品与厂家安装条件待确认</x:v>
      </x:c>
    </x:row>
    <x:row r="120" ht="34" customHeight="1">
      <x:c r="A120" s="108" t="str">
        <x:v>FURIFC-064</x:v>
      </x:c>
      <x:c r="B120" s="108" t="str">
        <x:v>FURNITURE</x:v>
      </x:c>
      <x:c r="C120" s="108" t="str">
        <x:v>IfcFurniture</x:v>
      </x:c>
      <x:c r="D120" s="108" t="str">
        <x:v>H09</x:v>
      </x:c>
      <x:c r="E120" s="108" t="str"/>
      <x:c r="F120" s="108" t="str">
        <x:v>H09</x:v>
      </x:c>
      <x:c r="G120" s="108" t="str"/>
      <x:c r="H120" s="108" t="str">
        <x:v>1</x:v>
      </x:c>
      <x:c r="I120" s="108" t="str">
        <x:v>existing</x:v>
      </x:c>
      <x:c r="J120" s="108" t="str">
        <x:v>ifc_observed</x:v>
      </x:c>
      <x:c r="K120" s="108" t="str"/>
      <x:c r="L120" s="108" t="str"/>
      <x:c r="M120" s="108" t="str"/>
      <x:c r="N120" s="108" t="str"/>
      <x:c r="O120" s="108" t="str">
        <x:v>no</x:v>
      </x:c>
      <x:c r="P120" s="108" t="str">
        <x:v>ifc_type_global_id</x:v>
      </x:c>
      <x:c r="Q120" s="108" t="str">
        <x:v>3zifxsolr0u839DCxTYFUC</x:v>
      </x:c>
      <x:c r="R120" s="108" t="str">
        <x:v>IfcFurniture</x:v>
      </x:c>
      <x:c r="S120" s="108" t="str">
        <x:v>H09</x:v>
      </x:c>
      <x:c r="T120" s="108" t="str">
        <x:v>3zifxsolr0u839DCxTYFUC</x:v>
      </x:c>
      <x:c r="U120" s="108" t="str">
        <x:v>3xZ8kydDnDhP1qEthmSe69</x:v>
      </x:c>
      <x:c r="V120" s="108" t="str">
        <x:v>IFC-FORMAL-001</x:v>
      </x:c>
      <x:c r="W120" s="108" t="str">
        <x:v>formal IFC inventory</x:v>
      </x:c>
      <x:c r="X120" s="108" t="str">
        <x:v>1.00</x:v>
      </x:c>
      <x:c r="Y120" s="108" t="str">
        <x:v>yes</x:v>
      </x:c>
      <x:c r="Z120" s="108" t="str">
        <x:v>ifc_inventory</x:v>
      </x:c>
      <x:c r="AA120" s="108" t="str"/>
      <x:c r="AB120" s="108" t="str">
        <x:v>对象已机械纳入覆盖；最终产品与厂家安装条件待确认</x:v>
      </x:c>
    </x:row>
    <x:row r="121" ht="34" customHeight="1">
      <x:c r="A121" s="108" t="str">
        <x:v>SAN-001</x:v>
      </x:c>
      <x:c r="B121" s="108" t="str">
        <x:v>SANITARY</x:v>
      </x:c>
      <x:c r="C121" s="108" t="str">
        <x:v>IfcSanitaryTerminal</x:v>
      </x:c>
      <x:c r="D121" s="108" t="str">
        <x:v>Geberit 154.446.KS.1</x:v>
      </x:c>
      <x:c r="E121" s="108" t="str"/>
      <x:c r="F121" s="108" t="str">
        <x:v>Geberit 154.446.KS.1</x:v>
      </x:c>
      <x:c r="G121" s="108" t="str"/>
      <x:c r="H121" s="108" t="str">
        <x:v>1</x:v>
      </x:c>
      <x:c r="I121" s="108" t="str">
        <x:v>existing</x:v>
      </x:c>
      <x:c r="J121" s="108" t="str">
        <x:v>ifc_observed</x:v>
      </x:c>
      <x:c r="K121" s="108" t="str"/>
      <x:c r="L121" s="108" t="str"/>
      <x:c r="M121" s="108" t="str"/>
      <x:c r="N121" s="108" t="str"/>
      <x:c r="O121" s="108" t="str">
        <x:v>no</x:v>
      </x:c>
      <x:c r="P121" s="108" t="str">
        <x:v>ifc_type_global_id</x:v>
      </x:c>
      <x:c r="Q121" s="108" t="str">
        <x:v>0345Y2zSj6TPFGDpaX3hcn</x:v>
      </x:c>
      <x:c r="R121" s="108" t="str">
        <x:v>IfcSanitaryTerminal</x:v>
      </x:c>
      <x:c r="S121" s="108" t="str">
        <x:v>Geberit 154.446.KS.1</x:v>
      </x:c>
      <x:c r="T121" s="108" t="str">
        <x:v>0345Y2zSj6TPFGDpaX3hcn</x:v>
      </x:c>
      <x:c r="U121" s="108" t="str">
        <x:v>2S2c498tb7$gzdukjhCGVQ</x:v>
      </x:c>
      <x:c r="V121" s="108" t="str">
        <x:v>IFC-FORMAL-001</x:v>
      </x:c>
      <x:c r="W121" s="108" t="str">
        <x:v>formal IFC inventory</x:v>
      </x:c>
      <x:c r="X121" s="108" t="str">
        <x:v>1.00</x:v>
      </x:c>
      <x:c r="Y121" s="108" t="str">
        <x:v>yes</x:v>
      </x:c>
      <x:c r="Z121" s="108" t="str">
        <x:v>ifc_inventory</x:v>
      </x:c>
      <x:c r="AA121" s="108" t="str"/>
      <x:c r="AB121" s="108" t="str">
        <x:v>对象已机械纳入覆盖；最终产品与厂家安装条件待确认</x:v>
      </x:c>
    </x:row>
    <x:row r="122" ht="34" customHeight="1">
      <x:c r="A122" s="108" t="str">
        <x:v>SAN-002</x:v>
      </x:c>
      <x:c r="B122" s="108" t="str">
        <x:v>SANITARY</x:v>
      </x:c>
      <x:c r="C122" s="108" t="str">
        <x:v>IfcSanitaryTerminal</x:v>
      </x:c>
      <x:c r="D122" s="108" t="str">
        <x:v>Gessi316 54146</x:v>
      </x:c>
      <x:c r="E122" s="108" t="str"/>
      <x:c r="F122" s="108" t="str">
        <x:v>Gessi316 54146</x:v>
      </x:c>
      <x:c r="G122" s="108" t="str"/>
      <x:c r="H122" s="108" t="str">
        <x:v>1</x:v>
      </x:c>
      <x:c r="I122" s="108" t="str">
        <x:v>existing</x:v>
      </x:c>
      <x:c r="J122" s="108" t="str">
        <x:v>ifc_observed</x:v>
      </x:c>
      <x:c r="K122" s="108" t="str"/>
      <x:c r="L122" s="108" t="str"/>
      <x:c r="M122" s="108" t="str"/>
      <x:c r="N122" s="108" t="str"/>
      <x:c r="O122" s="108" t="str">
        <x:v>no</x:v>
      </x:c>
      <x:c r="P122" s="108" t="str">
        <x:v>ifc_type_global_id</x:v>
      </x:c>
      <x:c r="Q122" s="108" t="str">
        <x:v>08XO3mTUz3HBUuAoz0Le9s</x:v>
      </x:c>
      <x:c r="R122" s="108" t="str">
        <x:v>IfcSanitaryTerminal</x:v>
      </x:c>
      <x:c r="S122" s="108" t="str">
        <x:v>Gessi316 54146</x:v>
      </x:c>
      <x:c r="T122" s="108" t="str">
        <x:v>08XO3mTUz3HBUuAoz0Le9s</x:v>
      </x:c>
      <x:c r="U122" s="108" t="str">
        <x:v>04DLh1Jk9Dcu9ibcaE0id8</x:v>
      </x:c>
      <x:c r="V122" s="108" t="str">
        <x:v>IFC-FORMAL-001</x:v>
      </x:c>
      <x:c r="W122" s="108" t="str">
        <x:v>formal IFC inventory</x:v>
      </x:c>
      <x:c r="X122" s="108" t="str">
        <x:v>1.00</x:v>
      </x:c>
      <x:c r="Y122" s="108" t="str">
        <x:v>yes</x:v>
      </x:c>
      <x:c r="Z122" s="108" t="str">
        <x:v>ifc_inventory</x:v>
      </x:c>
      <x:c r="AA122" s="108" t="str"/>
      <x:c r="AB122" s="108" t="str">
        <x:v>对象已机械纳入覆盖；最终产品与厂家安装条件待确认</x:v>
      </x:c>
    </x:row>
    <x:row r="123" ht="34" customHeight="1">
      <x:c r="A123" s="108" t="str">
        <x:v>SAN-003</x:v>
      </x:c>
      <x:c r="B123" s="108" t="str">
        <x:v>SANITARY</x:v>
      </x:c>
      <x:c r="C123" s="108" t="str">
        <x:v>IfcSanitaryTerminal</x:v>
      </x:c>
      <x:c r="D123" s="108" t="str">
        <x:v>Geberit 115.770</x:v>
      </x:c>
      <x:c r="E123" s="108" t="str"/>
      <x:c r="F123" s="108" t="str">
        <x:v>Geberit 115.770</x:v>
      </x:c>
      <x:c r="G123" s="108" t="str"/>
      <x:c r="H123" s="108" t="str">
        <x:v>2</x:v>
      </x:c>
      <x:c r="I123" s="108" t="str">
        <x:v>existing</x:v>
      </x:c>
      <x:c r="J123" s="108" t="str">
        <x:v>ifc_observed</x:v>
      </x:c>
      <x:c r="K123" s="108" t="str"/>
      <x:c r="L123" s="108" t="str"/>
      <x:c r="M123" s="108" t="str"/>
      <x:c r="N123" s="108" t="str"/>
      <x:c r="O123" s="108" t="str">
        <x:v>no</x:v>
      </x:c>
      <x:c r="P123" s="108" t="str">
        <x:v>ifc_type_global_id</x:v>
      </x:c>
      <x:c r="Q123" s="108" t="str">
        <x:v>0Ix$O3sQD6WvCEq22Az1Qg</x:v>
      </x:c>
      <x:c r="R123" s="108" t="str">
        <x:v>IfcSanitaryTerminal</x:v>
      </x:c>
      <x:c r="S123" s="108" t="str">
        <x:v>Geberit 115.770</x:v>
      </x:c>
      <x:c r="T123" s="108" t="str">
        <x:v>0Ix$O3sQD6WvCEq22Az1Qg</x:v>
      </x:c>
      <x:c r="U123" s="108" t="str">
        <x:v>2gFgcOYEXEaQWAzcKulTFt;2lDPsdQevFSfeOThtjSlPG</x:v>
      </x:c>
      <x:c r="V123" s="108" t="str">
        <x:v>IFC-FORMAL-001</x:v>
      </x:c>
      <x:c r="W123" s="108" t="str">
        <x:v>formal IFC inventory</x:v>
      </x:c>
      <x:c r="X123" s="108" t="str">
        <x:v>1.00</x:v>
      </x:c>
      <x:c r="Y123" s="108" t="str">
        <x:v>yes</x:v>
      </x:c>
      <x:c r="Z123" s="108" t="str">
        <x:v>ifc_inventory</x:v>
      </x:c>
      <x:c r="AA123" s="108" t="str"/>
      <x:c r="AB123" s="108" t="str">
        <x:v>对象已机械纳入覆盖；最终产品与厂家安装条件待确认</x:v>
      </x:c>
    </x:row>
    <x:row r="124" ht="34" customHeight="1">
      <x:c r="A124" s="108" t="str">
        <x:v>SAN-004</x:v>
      </x:c>
      <x:c r="B124" s="108" t="str">
        <x:v>SANITARY</x:v>
      </x:c>
      <x:c r="C124" s="108" t="str">
        <x:v>IfcSanitaryTerminal</x:v>
      </x:c>
      <x:c r="D124" s="108" t="str">
        <x:v>FAU01</x:v>
      </x:c>
      <x:c r="E124" s="108" t="str"/>
      <x:c r="F124" s="108" t="str">
        <x:v>FAU01</x:v>
      </x:c>
      <x:c r="G124" s="108" t="str"/>
      <x:c r="H124" s="108" t="str">
        <x:v>1</x:v>
      </x:c>
      <x:c r="I124" s="108" t="str">
        <x:v>existing</x:v>
      </x:c>
      <x:c r="J124" s="108" t="str">
        <x:v>ifc_observed</x:v>
      </x:c>
      <x:c r="K124" s="108" t="str"/>
      <x:c r="L124" s="108" t="str"/>
      <x:c r="M124" s="108" t="str"/>
      <x:c r="N124" s="108" t="str"/>
      <x:c r="O124" s="108" t="str">
        <x:v>no</x:v>
      </x:c>
      <x:c r="P124" s="108" t="str">
        <x:v>ifc_type_global_id</x:v>
      </x:c>
      <x:c r="Q124" s="108" t="str">
        <x:v>0fd0eMJXDFwh3DzpfAkjxu</x:v>
      </x:c>
      <x:c r="R124" s="108" t="str">
        <x:v>IfcSanitaryTerminal</x:v>
      </x:c>
      <x:c r="S124" s="108" t="str">
        <x:v>FAU01</x:v>
      </x:c>
      <x:c r="T124" s="108" t="str">
        <x:v>0fd0eMJXDFwh3DzpfAkjxu</x:v>
      </x:c>
      <x:c r="U124" s="108" t="str">
        <x:v>1$3UG05MPFmumejbg1KJ$I</x:v>
      </x:c>
      <x:c r="V124" s="108" t="str">
        <x:v>IFC-FORMAL-001</x:v>
      </x:c>
      <x:c r="W124" s="108" t="str">
        <x:v>formal IFC inventory</x:v>
      </x:c>
      <x:c r="X124" s="108" t="str">
        <x:v>1.00</x:v>
      </x:c>
      <x:c r="Y124" s="108" t="str">
        <x:v>yes</x:v>
      </x:c>
      <x:c r="Z124" s="108" t="str">
        <x:v>ifc_inventory</x:v>
      </x:c>
      <x:c r="AA124" s="108" t="str"/>
      <x:c r="AB124" s="108" t="str">
        <x:v>对象已机械纳入覆盖；最终产品与厂家安装条件待确认</x:v>
      </x:c>
    </x:row>
    <x:row r="125" ht="34" customHeight="1">
      <x:c r="A125" s="108" t="str">
        <x:v>SAN-005</x:v>
      </x:c>
      <x:c r="B125" s="108" t="str">
        <x:v>SANITARY</x:v>
      </x:c>
      <x:c r="C125" s="108" t="str">
        <x:v>IfcSanitaryTerminal</x:v>
      </x:c>
      <x:c r="D125" s="108" t="str">
        <x:v>FAU02</x:v>
      </x:c>
      <x:c r="E125" s="108" t="str"/>
      <x:c r="F125" s="108" t="str">
        <x:v>FAU02</x:v>
      </x:c>
      <x:c r="G125" s="108" t="str"/>
      <x:c r="H125" s="108" t="str">
        <x:v>1</x:v>
      </x:c>
      <x:c r="I125" s="108" t="str">
        <x:v>existing</x:v>
      </x:c>
      <x:c r="J125" s="108" t="str">
        <x:v>ifc_observed</x:v>
      </x:c>
      <x:c r="K125" s="108" t="str"/>
      <x:c r="L125" s="108" t="str"/>
      <x:c r="M125" s="108" t="str"/>
      <x:c r="N125" s="108" t="str"/>
      <x:c r="O125" s="108" t="str">
        <x:v>no</x:v>
      </x:c>
      <x:c r="P125" s="108" t="str">
        <x:v>ifc_type_global_id</x:v>
      </x:c>
      <x:c r="Q125" s="108" t="str">
        <x:v>0kHJM4zvD6uQgoZ6u9zW9R</x:v>
      </x:c>
      <x:c r="R125" s="108" t="str">
        <x:v>IfcSanitaryTerminal</x:v>
      </x:c>
      <x:c r="S125" s="108" t="str">
        <x:v>FAU02</x:v>
      </x:c>
      <x:c r="T125" s="108" t="str">
        <x:v>0kHJM4zvD6uQgoZ6u9zW9R</x:v>
      </x:c>
      <x:c r="U125" s="108" t="str">
        <x:v>36ZX3QPyD7SvlXsDKMP8rY</x:v>
      </x:c>
      <x:c r="V125" s="108" t="str">
        <x:v>IFC-FORMAL-001</x:v>
      </x:c>
      <x:c r="W125" s="108" t="str">
        <x:v>formal IFC inventory</x:v>
      </x:c>
      <x:c r="X125" s="108" t="str">
        <x:v>1.00</x:v>
      </x:c>
      <x:c r="Y125" s="108" t="str">
        <x:v>yes</x:v>
      </x:c>
      <x:c r="Z125" s="108" t="str">
        <x:v>ifc_inventory</x:v>
      </x:c>
      <x:c r="AA125" s="108" t="str"/>
      <x:c r="AB125" s="108" t="str">
        <x:v>对象已机械纳入覆盖；最终产品与厂家安装条件待确认</x:v>
      </x:c>
    </x:row>
    <x:row r="126" ht="34" customHeight="1">
      <x:c r="A126" s="108" t="str">
        <x:v>SAN-006</x:v>
      </x:c>
      <x:c r="B126" s="108" t="str">
        <x:v>SANITARY</x:v>
      </x:c>
      <x:c r="C126" s="108" t="str">
        <x:v>IfcSanitaryTerminal</x:v>
      </x:c>
      <x:c r="D126" s="108" t="str">
        <x:v>Geberit 146.140</x:v>
      </x:c>
      <x:c r="E126" s="108" t="str"/>
      <x:c r="F126" s="108" t="str">
        <x:v>Geberit 146.140</x:v>
      </x:c>
      <x:c r="G126" s="108" t="str"/>
      <x:c r="H126" s="108" t="str">
        <x:v>2</x:v>
      </x:c>
      <x:c r="I126" s="108" t="str">
        <x:v>existing</x:v>
      </x:c>
      <x:c r="J126" s="108" t="str">
        <x:v>ifc_observed</x:v>
      </x:c>
      <x:c r="K126" s="108" t="str"/>
      <x:c r="L126" s="108" t="str"/>
      <x:c r="M126" s="108" t="str"/>
      <x:c r="N126" s="108" t="str"/>
      <x:c r="O126" s="108" t="str">
        <x:v>no</x:v>
      </x:c>
      <x:c r="P126" s="108" t="str">
        <x:v>ifc_type_global_id</x:v>
      </x:c>
      <x:c r="Q126" s="108" t="str">
        <x:v>0oQ1OORVb9oOryrsmQyox1</x:v>
      </x:c>
      <x:c r="R126" s="108" t="str">
        <x:v>IfcSanitaryTerminal</x:v>
      </x:c>
      <x:c r="S126" s="108" t="str">
        <x:v>Geberit 146.140</x:v>
      </x:c>
      <x:c r="T126" s="108" t="str">
        <x:v>0oQ1OORVb9oOryrsmQyox1</x:v>
      </x:c>
      <x:c r="U126" s="108" t="str">
        <x:v>1rhZG98PPCSxaLeMFLTYb9;0UtU7yPb10ku4gsbGoM_sp</x:v>
      </x:c>
      <x:c r="V126" s="108" t="str">
        <x:v>IFC-FORMAL-001</x:v>
      </x:c>
      <x:c r="W126" s="108" t="str">
        <x:v>formal IFC inventory</x:v>
      </x:c>
      <x:c r="X126" s="108" t="str">
        <x:v>1.00</x:v>
      </x:c>
      <x:c r="Y126" s="108" t="str">
        <x:v>yes</x:v>
      </x:c>
      <x:c r="Z126" s="108" t="str">
        <x:v>ifc_inventory</x:v>
      </x:c>
      <x:c r="AA126" s="108" t="str"/>
      <x:c r="AB126" s="108" t="str">
        <x:v>对象已机械纳入覆盖；最终产品与厂家安装条件待确认</x:v>
      </x:c>
    </x:row>
    <x:row r="127" ht="34" customHeight="1">
      <x:c r="A127" s="108" t="str">
        <x:v>SAN-007</x:v>
      </x:c>
      <x:c r="B127" s="108" t="str">
        <x:v>SANITARY</x:v>
      </x:c>
      <x:c r="C127" s="108" t="str">
        <x:v>IfcSanitaryTerminal</x:v>
      </x:c>
      <x:c r="D127" s="108" t="str">
        <x:v>Geberit 154.154.00.1.C</x:v>
      </x:c>
      <x:c r="E127" s="108" t="str"/>
      <x:c r="F127" s="108" t="str">
        <x:v>Geberit 154.154.00.1.C</x:v>
      </x:c>
      <x:c r="G127" s="108" t="str"/>
      <x:c r="H127" s="108" t="str">
        <x:v>1</x:v>
      </x:c>
      <x:c r="I127" s="108" t="str">
        <x:v>existing</x:v>
      </x:c>
      <x:c r="J127" s="108" t="str">
        <x:v>ifc_observed</x:v>
      </x:c>
      <x:c r="K127" s="108" t="str"/>
      <x:c r="L127" s="108" t="str"/>
      <x:c r="M127" s="108" t="str"/>
      <x:c r="N127" s="108" t="str"/>
      <x:c r="O127" s="108" t="str">
        <x:v>no</x:v>
      </x:c>
      <x:c r="P127" s="108" t="str">
        <x:v>ifc_type_global_id</x:v>
      </x:c>
      <x:c r="Q127" s="108" t="str">
        <x:v>187Z_5Ufn8xhqkgXCB4TT6</x:v>
      </x:c>
      <x:c r="R127" s="108" t="str">
        <x:v>IfcSanitaryTerminal</x:v>
      </x:c>
      <x:c r="S127" s="108" t="str">
        <x:v>Geberit 154.154.00.1.C</x:v>
      </x:c>
      <x:c r="T127" s="108" t="str">
        <x:v>187Z_5Ufn8xhqkgXCB4TT6</x:v>
      </x:c>
      <x:c r="U127" s="108" t="str">
        <x:v>3ErNe1i1TCsQ3xogoRbN2S</x:v>
      </x:c>
      <x:c r="V127" s="108" t="str">
        <x:v>IFC-FORMAL-001</x:v>
      </x:c>
      <x:c r="W127" s="108" t="str">
        <x:v>formal IFC inventory</x:v>
      </x:c>
      <x:c r="X127" s="108" t="str">
        <x:v>1.00</x:v>
      </x:c>
      <x:c r="Y127" s="108" t="str">
        <x:v>yes</x:v>
      </x:c>
      <x:c r="Z127" s="108" t="str">
        <x:v>ifc_inventory</x:v>
      </x:c>
      <x:c r="AA127" s="108" t="str"/>
      <x:c r="AB127" s="108" t="str">
        <x:v>对象已机械纳入覆盖；最终产品与厂家安装条件待确认</x:v>
      </x:c>
    </x:row>
    <x:row r="128" ht="34" customHeight="1">
      <x:c r="A128" s="108" t="str">
        <x:v>SAN-008</x:v>
      </x:c>
      <x:c r="B128" s="108" t="str">
        <x:v>SANITARY</x:v>
      </x:c>
      <x:c r="C128" s="108" t="str">
        <x:v>IfcSanitaryTerminal</x:v>
      </x:c>
      <x:c r="D128" s="108" t="str">
        <x:v>TRAP01</x:v>
      </x:c>
      <x:c r="E128" s="108" t="str"/>
      <x:c r="F128" s="108" t="str">
        <x:v>TRAP01</x:v>
      </x:c>
      <x:c r="G128" s="108" t="str"/>
      <x:c r="H128" s="108" t="str">
        <x:v>1</x:v>
      </x:c>
      <x:c r="I128" s="108" t="str">
        <x:v>existing</x:v>
      </x:c>
      <x:c r="J128" s="108" t="str">
        <x:v>ifc_observed</x:v>
      </x:c>
      <x:c r="K128" s="108" t="str"/>
      <x:c r="L128" s="108" t="str"/>
      <x:c r="M128" s="108" t="str"/>
      <x:c r="N128" s="108" t="str"/>
      <x:c r="O128" s="108" t="str">
        <x:v>no</x:v>
      </x:c>
      <x:c r="P128" s="108" t="str">
        <x:v>ifc_type_global_id</x:v>
      </x:c>
      <x:c r="Q128" s="108" t="str">
        <x:v>1L$J4UrFv9auXWTT2Ys_oH</x:v>
      </x:c>
      <x:c r="R128" s="108" t="str">
        <x:v>IfcSanitaryTerminal</x:v>
      </x:c>
      <x:c r="S128" s="108" t="str">
        <x:v>TRAP01</x:v>
      </x:c>
      <x:c r="T128" s="108" t="str">
        <x:v>1L$J4UrFv9auXWTT2Ys_oH</x:v>
      </x:c>
      <x:c r="U128" s="108" t="str">
        <x:v>2Ak2ma0lvBEA49UpplzUqi</x:v>
      </x:c>
      <x:c r="V128" s="108" t="str">
        <x:v>IFC-FORMAL-001</x:v>
      </x:c>
      <x:c r="W128" s="108" t="str">
        <x:v>formal IFC inventory</x:v>
      </x:c>
      <x:c r="X128" s="108" t="str">
        <x:v>1.00</x:v>
      </x:c>
      <x:c r="Y128" s="108" t="str">
        <x:v>yes</x:v>
      </x:c>
      <x:c r="Z128" s="108" t="str">
        <x:v>ifc_inventory</x:v>
      </x:c>
      <x:c r="AA128" s="108" t="str"/>
      <x:c r="AB128" s="108" t="str">
        <x:v>对象已机械纳入覆盖；最终产品与厂家安装条件待确认</x:v>
      </x:c>
    </x:row>
    <x:row r="129" ht="34" customHeight="1">
      <x:c r="A129" s="108" t="str">
        <x:v>SAN-009</x:v>
      </x:c>
      <x:c r="B129" s="108" t="str">
        <x:v>SANITARY</x:v>
      </x:c>
      <x:c r="C129" s="108" t="str">
        <x:v>IfcSanitaryTerminal</x:v>
      </x:c>
      <x:c r="D129" s="108" t="str">
        <x:v>BATH01</x:v>
      </x:c>
      <x:c r="E129" s="108" t="str"/>
      <x:c r="F129" s="108" t="str">
        <x:v>BATH01</x:v>
      </x:c>
      <x:c r="G129" s="108" t="str"/>
      <x:c r="H129" s="108" t="str">
        <x:v>1</x:v>
      </x:c>
      <x:c r="I129" s="108" t="str">
        <x:v>existing</x:v>
      </x:c>
      <x:c r="J129" s="108" t="str">
        <x:v>ifc_observed</x:v>
      </x:c>
      <x:c r="K129" s="108" t="str"/>
      <x:c r="L129" s="108" t="str"/>
      <x:c r="M129" s="108" t="str"/>
      <x:c r="N129" s="108" t="str"/>
      <x:c r="O129" s="108" t="str">
        <x:v>no</x:v>
      </x:c>
      <x:c r="P129" s="108" t="str">
        <x:v>ifc_type_global_id</x:v>
      </x:c>
      <x:c r="Q129" s="108" t="str">
        <x:v>1N$NgwVtX1rfaxGhd0NYqB</x:v>
      </x:c>
      <x:c r="R129" s="108" t="str">
        <x:v>IfcSanitaryTerminal</x:v>
      </x:c>
      <x:c r="S129" s="108" t="str">
        <x:v>BATH01</x:v>
      </x:c>
      <x:c r="T129" s="108" t="str">
        <x:v>1N$NgwVtX1rfaxGhd0NYqB</x:v>
      </x:c>
      <x:c r="U129" s="108" t="str">
        <x:v>39j3ZGWibC9OzRnhnTZwHN</x:v>
      </x:c>
      <x:c r="V129" s="108" t="str">
        <x:v>IFC-FORMAL-001</x:v>
      </x:c>
      <x:c r="W129" s="108" t="str">
        <x:v>formal IFC inventory</x:v>
      </x:c>
      <x:c r="X129" s="108" t="str">
        <x:v>1.00</x:v>
      </x:c>
      <x:c r="Y129" s="108" t="str">
        <x:v>yes</x:v>
      </x:c>
      <x:c r="Z129" s="108" t="str">
        <x:v>ifc_inventory</x:v>
      </x:c>
      <x:c r="AA129" s="108" t="str"/>
      <x:c r="AB129" s="108" t="str">
        <x:v>对象已机械纳入覆盖；最终产品与厂家安装条件待确认</x:v>
      </x:c>
    </x:row>
    <x:row r="130" ht="34" customHeight="1">
      <x:c r="A130" s="108" t="str">
        <x:v>SAN-010</x:v>
      </x:c>
      <x:c r="B130" s="108" t="str">
        <x:v>SANITARY</x:v>
      </x:c>
      <x:c r="C130" s="108" t="str">
        <x:v>IfcSanitaryTerminal</x:v>
      </x:c>
      <x:c r="D130" s="108" t="str">
        <x:v>Gessi316 54093</x:v>
      </x:c>
      <x:c r="E130" s="108" t="str"/>
      <x:c r="F130" s="108" t="str">
        <x:v>Gessi316 54093</x:v>
      </x:c>
      <x:c r="G130" s="108" t="str"/>
      <x:c r="H130" s="108" t="str">
        <x:v>1</x:v>
      </x:c>
      <x:c r="I130" s="108" t="str">
        <x:v>existing</x:v>
      </x:c>
      <x:c r="J130" s="108" t="str">
        <x:v>ifc_observed</x:v>
      </x:c>
      <x:c r="K130" s="108" t="str"/>
      <x:c r="L130" s="108" t="str"/>
      <x:c r="M130" s="108" t="str"/>
      <x:c r="N130" s="108" t="str"/>
      <x:c r="O130" s="108" t="str">
        <x:v>no</x:v>
      </x:c>
      <x:c r="P130" s="108" t="str">
        <x:v>ifc_type_global_id</x:v>
      </x:c>
      <x:c r="Q130" s="108" t="str">
        <x:v>1N6dRlBGvEs8EXU8M9hy4X</x:v>
      </x:c>
      <x:c r="R130" s="108" t="str">
        <x:v>IfcSanitaryTerminal</x:v>
      </x:c>
      <x:c r="S130" s="108" t="str">
        <x:v>Gessi316 54093</x:v>
      </x:c>
      <x:c r="T130" s="108" t="str">
        <x:v>1N6dRlBGvEs8EXU8M9hy4X</x:v>
      </x:c>
      <x:c r="U130" s="108" t="str">
        <x:v>1jM_suNMPAw8_nvZejQSnp</x:v>
      </x:c>
      <x:c r="V130" s="108" t="str">
        <x:v>IFC-FORMAL-001</x:v>
      </x:c>
      <x:c r="W130" s="108" t="str">
        <x:v>formal IFC inventory</x:v>
      </x:c>
      <x:c r="X130" s="108" t="str">
        <x:v>1.00</x:v>
      </x:c>
      <x:c r="Y130" s="108" t="str">
        <x:v>yes</x:v>
      </x:c>
      <x:c r="Z130" s="108" t="str">
        <x:v>ifc_inventory</x:v>
      </x:c>
      <x:c r="AA130" s="108" t="str"/>
      <x:c r="AB130" s="108" t="str">
        <x:v>对象已机械纳入覆盖；最终产品与厂家安装条件待确认</x:v>
      </x:c>
    </x:row>
    <x:row r="131" ht="34" customHeight="1">
      <x:c r="A131" s="108" t="str">
        <x:v>SAN-011</x:v>
      </x:c>
      <x:c r="B131" s="108" t="str">
        <x:v>SANITARY</x:v>
      </x:c>
      <x:c r="C131" s="108" t="str">
        <x:v>IfcSanitaryTerminal</x:v>
      </x:c>
      <x:c r="D131" s="108" t="str">
        <x:v>Geberit 154.154.00.1.F</x:v>
      </x:c>
      <x:c r="E131" s="108" t="str"/>
      <x:c r="F131" s="108" t="str">
        <x:v>Geberit 154.154.00.1.F</x:v>
      </x:c>
      <x:c r="G131" s="108" t="str"/>
      <x:c r="H131" s="108" t="str">
        <x:v>1</x:v>
      </x:c>
      <x:c r="I131" s="108" t="str">
        <x:v>existing</x:v>
      </x:c>
      <x:c r="J131" s="108" t="str">
        <x:v>ifc_observed</x:v>
      </x:c>
      <x:c r="K131" s="108" t="str"/>
      <x:c r="L131" s="108" t="str"/>
      <x:c r="M131" s="108" t="str"/>
      <x:c r="N131" s="108" t="str"/>
      <x:c r="O131" s="108" t="str">
        <x:v>no</x:v>
      </x:c>
      <x:c r="P131" s="108" t="str">
        <x:v>ifc_type_global_id</x:v>
      </x:c>
      <x:c r="Q131" s="108" t="str">
        <x:v>1bJFlkL310_e1sYGDT2Y40</x:v>
      </x:c>
      <x:c r="R131" s="108" t="str">
        <x:v>IfcSanitaryTerminal</x:v>
      </x:c>
      <x:c r="S131" s="108" t="str">
        <x:v>Geberit 154.154.00.1.F</x:v>
      </x:c>
      <x:c r="T131" s="108" t="str">
        <x:v>1bJFlkL310_e1sYGDT2Y40</x:v>
      </x:c>
      <x:c r="U131" s="108" t="str">
        <x:v>2jjNIn9gHBYwNSWwlM5T_i</x:v>
      </x:c>
      <x:c r="V131" s="108" t="str">
        <x:v>IFC-FORMAL-001</x:v>
      </x:c>
      <x:c r="W131" s="108" t="str">
        <x:v>formal IFC inventory</x:v>
      </x:c>
      <x:c r="X131" s="108" t="str">
        <x:v>1.00</x:v>
      </x:c>
      <x:c r="Y131" s="108" t="str">
        <x:v>yes</x:v>
      </x:c>
      <x:c r="Z131" s="108" t="str">
        <x:v>ifc_inventory</x:v>
      </x:c>
      <x:c r="AA131" s="108" t="str"/>
      <x:c r="AB131" s="108" t="str">
        <x:v>对象已机械纳入覆盖；最终产品与厂家安装条件待确认</x:v>
      </x:c>
    </x:row>
    <x:row r="132" ht="34" customHeight="1">
      <x:c r="A132" s="108" t="str">
        <x:v>SAN-012</x:v>
      </x:c>
      <x:c r="B132" s="108" t="str">
        <x:v>SANITARY</x:v>
      </x:c>
      <x:c r="C132" s="108" t="str">
        <x:v>IfcSanitaryTerminal</x:v>
      </x:c>
      <x:c r="D132" s="108" t="str">
        <x:v>Gessi316 54294</x:v>
      </x:c>
      <x:c r="E132" s="108" t="str"/>
      <x:c r="F132" s="108" t="str">
        <x:v>Gessi316 54294</x:v>
      </x:c>
      <x:c r="G132" s="108" t="str"/>
      <x:c r="H132" s="108" t="str">
        <x:v>1</x:v>
      </x:c>
      <x:c r="I132" s="108" t="str">
        <x:v>existing</x:v>
      </x:c>
      <x:c r="J132" s="108" t="str">
        <x:v>ifc_observed</x:v>
      </x:c>
      <x:c r="K132" s="108" t="str"/>
      <x:c r="L132" s="108" t="str"/>
      <x:c r="M132" s="108" t="str"/>
      <x:c r="N132" s="108" t="str"/>
      <x:c r="O132" s="108" t="str">
        <x:v>no</x:v>
      </x:c>
      <x:c r="P132" s="108" t="str">
        <x:v>ifc_type_global_id</x:v>
      </x:c>
      <x:c r="Q132" s="108" t="str">
        <x:v>1bUN13Ecz6PRpaXsNtfiqj</x:v>
      </x:c>
      <x:c r="R132" s="108" t="str">
        <x:v>IfcSanitaryTerminal</x:v>
      </x:c>
      <x:c r="S132" s="108" t="str">
        <x:v>Gessi316 54294</x:v>
      </x:c>
      <x:c r="T132" s="108" t="str">
        <x:v>1bUN13Ecz6PRpaXsNtfiqj</x:v>
      </x:c>
      <x:c r="U132" s="108" t="str">
        <x:v>2iKOL78$H0N9Yd9$ky3pW4</x:v>
      </x:c>
      <x:c r="V132" s="108" t="str">
        <x:v>IFC-FORMAL-001</x:v>
      </x:c>
      <x:c r="W132" s="108" t="str">
        <x:v>formal IFC inventory</x:v>
      </x:c>
      <x:c r="X132" s="108" t="str">
        <x:v>1.00</x:v>
      </x:c>
      <x:c r="Y132" s="108" t="str">
        <x:v>yes</x:v>
      </x:c>
      <x:c r="Z132" s="108" t="str">
        <x:v>ifc_inventory</x:v>
      </x:c>
      <x:c r="AA132" s="108" t="str"/>
      <x:c r="AB132" s="108" t="str">
        <x:v>对象已机械纳入覆盖；最终产品与厂家安装条件待确认</x:v>
      </x:c>
    </x:row>
    <x:row r="133" ht="34" customHeight="1">
      <x:c r="A133" s="108" t="str">
        <x:v>SAN-013</x:v>
      </x:c>
      <x:c r="B133" s="108" t="str">
        <x:v>SANITARY</x:v>
      </x:c>
      <x:c r="C133" s="108" t="str">
        <x:v>IfcSanitaryTerminal</x:v>
      </x:c>
      <x:c r="D133" s="108" t="str">
        <x:v>PANTA REI</x:v>
      </x:c>
      <x:c r="E133" s="108" t="str"/>
      <x:c r="F133" s="108" t="str">
        <x:v>PANTA REI</x:v>
      </x:c>
      <x:c r="G133" s="108" t="str"/>
      <x:c r="H133" s="108" t="str">
        <x:v>1</x:v>
      </x:c>
      <x:c r="I133" s="108" t="str">
        <x:v>existing</x:v>
      </x:c>
      <x:c r="J133" s="108" t="str">
        <x:v>ifc_observed</x:v>
      </x:c>
      <x:c r="K133" s="108" t="str"/>
      <x:c r="L133" s="108" t="str"/>
      <x:c r="M133" s="108" t="str"/>
      <x:c r="N133" s="108" t="str"/>
      <x:c r="O133" s="108" t="str">
        <x:v>no</x:v>
      </x:c>
      <x:c r="P133" s="108" t="str">
        <x:v>ifc_type_global_id</x:v>
      </x:c>
      <x:c r="Q133" s="108" t="str">
        <x:v>1wG7mOiwz5ER_yF1y_J7wP</x:v>
      </x:c>
      <x:c r="R133" s="108" t="str">
        <x:v>IfcSanitaryTerminal</x:v>
      </x:c>
      <x:c r="S133" s="108" t="str">
        <x:v>PANTA REI</x:v>
      </x:c>
      <x:c r="T133" s="108" t="str">
        <x:v>1wG7mOiwz5ER_yF1y_J7wP</x:v>
      </x:c>
      <x:c r="U133" s="108" t="str">
        <x:v>2YnGmmoYbF28Vy25$aNKT8</x:v>
      </x:c>
      <x:c r="V133" s="108" t="str">
        <x:v>IFC-FORMAL-001</x:v>
      </x:c>
      <x:c r="W133" s="108" t="str">
        <x:v>formal IFC inventory</x:v>
      </x:c>
      <x:c r="X133" s="108" t="str">
        <x:v>1.00</x:v>
      </x:c>
      <x:c r="Y133" s="108" t="str">
        <x:v>yes</x:v>
      </x:c>
      <x:c r="Z133" s="108" t="str">
        <x:v>ifc_inventory</x:v>
      </x:c>
      <x:c r="AA133" s="108" t="str"/>
      <x:c r="AB133" s="108" t="str">
        <x:v>对象已机械纳入覆盖；最终产品与厂家安装条件待确认</x:v>
      </x:c>
    </x:row>
    <x:row r="134" ht="34" customHeight="1">
      <x:c r="A134" s="108" t="str">
        <x:v>SAN-014</x:v>
      </x:c>
      <x:c r="B134" s="108" t="str">
        <x:v>SANITARY</x:v>
      </x:c>
      <x:c r="C134" s="108" t="str">
        <x:v>IfcSanitaryTerminal</x:v>
      </x:c>
      <x:c r="D134" s="108" t="str">
        <x:v>Geberit Duofix Sigma</x:v>
      </x:c>
      <x:c r="E134" s="108" t="str"/>
      <x:c r="F134" s="108" t="str">
        <x:v>Geberit Duofix Sigma</x:v>
      </x:c>
      <x:c r="G134" s="108" t="str"/>
      <x:c r="H134" s="108" t="str">
        <x:v>2</x:v>
      </x:c>
      <x:c r="I134" s="108" t="str">
        <x:v>existing</x:v>
      </x:c>
      <x:c r="J134" s="108" t="str">
        <x:v>ifc_observed</x:v>
      </x:c>
      <x:c r="K134" s="108" t="str"/>
      <x:c r="L134" s="108" t="str"/>
      <x:c r="M134" s="108" t="str"/>
      <x:c r="N134" s="108" t="str"/>
      <x:c r="O134" s="108" t="str">
        <x:v>no</x:v>
      </x:c>
      <x:c r="P134" s="108" t="str">
        <x:v>ifc_type_global_id</x:v>
      </x:c>
      <x:c r="Q134" s="108" t="str">
        <x:v>2$Cw4HyDT1lA8dPM$p1ucM</x:v>
      </x:c>
      <x:c r="R134" s="108" t="str">
        <x:v>IfcSanitaryTerminal</x:v>
      </x:c>
      <x:c r="S134" s="108" t="str">
        <x:v>Geberit Duofix Sigma</x:v>
      </x:c>
      <x:c r="T134" s="108" t="str">
        <x:v>2$Cw4HyDT1lA8dPM$p1ucM</x:v>
      </x:c>
      <x:c r="U134" s="108" t="str">
        <x:v>3hgNkx97vCTOC2eewCpMNk;3pvAlH5C14v8uVEJ1LmK8M</x:v>
      </x:c>
      <x:c r="V134" s="108" t="str">
        <x:v>IFC-FORMAL-001</x:v>
      </x:c>
      <x:c r="W134" s="108" t="str">
        <x:v>formal IFC inventory</x:v>
      </x:c>
      <x:c r="X134" s="108" t="str">
        <x:v>1.00</x:v>
      </x:c>
      <x:c r="Y134" s="108" t="str">
        <x:v>yes</x:v>
      </x:c>
      <x:c r="Z134" s="108" t="str">
        <x:v>ifc_inventory</x:v>
      </x:c>
      <x:c r="AA134" s="108" t="str"/>
      <x:c r="AB134" s="108" t="str">
        <x:v>对象已机械纳入覆盖；最终产品与厂家安装条件待确认</x:v>
      </x:c>
    </x:row>
    <x:row r="135" ht="34" customHeight="1">
      <x:c r="A135" s="108" t="str">
        <x:v>SAN-015</x:v>
      </x:c>
      <x:c r="B135" s="108" t="str">
        <x:v>SANITARY</x:v>
      </x:c>
      <x:c r="C135" s="108" t="str">
        <x:v>IfcSanitaryTerminal</x:v>
      </x:c>
      <x:c r="D135" s="108" t="str">
        <x:v>Gessi316 54205</x:v>
      </x:c>
      <x:c r="E135" s="108" t="str"/>
      <x:c r="F135" s="108" t="str">
        <x:v>Gessi316 54205</x:v>
      </x:c>
      <x:c r="G135" s="108" t="str"/>
      <x:c r="H135" s="108" t="str">
        <x:v>1</x:v>
      </x:c>
      <x:c r="I135" s="108" t="str">
        <x:v>existing</x:v>
      </x:c>
      <x:c r="J135" s="108" t="str">
        <x:v>ifc_observed</x:v>
      </x:c>
      <x:c r="K135" s="108" t="str"/>
      <x:c r="L135" s="108" t="str"/>
      <x:c r="M135" s="108" t="str"/>
      <x:c r="N135" s="108" t="str"/>
      <x:c r="O135" s="108" t="str">
        <x:v>no</x:v>
      </x:c>
      <x:c r="P135" s="108" t="str">
        <x:v>ifc_type_global_id</x:v>
      </x:c>
      <x:c r="Q135" s="108" t="str">
        <x:v>23d5DI3h91$RyqO0U1dIa5</x:v>
      </x:c>
      <x:c r="R135" s="108" t="str">
        <x:v>IfcSanitaryTerminal</x:v>
      </x:c>
      <x:c r="S135" s="108" t="str">
        <x:v>Gessi316 54205</x:v>
      </x:c>
      <x:c r="T135" s="108" t="str">
        <x:v>23d5DI3h91$RyqO0U1dIa5</x:v>
      </x:c>
      <x:c r="U135" s="108" t="str">
        <x:v>1u997JrDbByeKqbJ6ku8GF</x:v>
      </x:c>
      <x:c r="V135" s="108" t="str">
        <x:v>IFC-FORMAL-001</x:v>
      </x:c>
      <x:c r="W135" s="108" t="str">
        <x:v>formal IFC inventory</x:v>
      </x:c>
      <x:c r="X135" s="108" t="str">
        <x:v>1.00</x:v>
      </x:c>
      <x:c r="Y135" s="108" t="str">
        <x:v>yes</x:v>
      </x:c>
      <x:c r="Z135" s="108" t="str">
        <x:v>ifc_inventory</x:v>
      </x:c>
      <x:c r="AA135" s="108" t="str"/>
      <x:c r="AB135" s="108" t="str">
        <x:v>对象已机械纳入覆盖；最终产品与厂家安装条件待确认</x:v>
      </x:c>
    </x:row>
    <x:row r="136" ht="34" customHeight="1">
      <x:c r="A136" s="108" t="str">
        <x:v>SAN-016</x:v>
      </x:c>
      <x:c r="B136" s="108" t="str">
        <x:v>SANITARY</x:v>
      </x:c>
      <x:c r="C136" s="108" t="str">
        <x:v>IfcSanitaryTerminal</x:v>
      </x:c>
      <x:c r="D136" s="108" t="str">
        <x:v>Gessi316 54145</x:v>
      </x:c>
      <x:c r="E136" s="108" t="str"/>
      <x:c r="F136" s="108" t="str">
        <x:v>Gessi316 54145</x:v>
      </x:c>
      <x:c r="G136" s="108" t="str"/>
      <x:c r="H136" s="108" t="str">
        <x:v>1</x:v>
      </x:c>
      <x:c r="I136" s="108" t="str">
        <x:v>existing</x:v>
      </x:c>
      <x:c r="J136" s="108" t="str">
        <x:v>ifc_observed</x:v>
      </x:c>
      <x:c r="K136" s="108" t="str"/>
      <x:c r="L136" s="108" t="str"/>
      <x:c r="M136" s="108" t="str"/>
      <x:c r="N136" s="108" t="str"/>
      <x:c r="O136" s="108" t="str">
        <x:v>no</x:v>
      </x:c>
      <x:c r="P136" s="108" t="str">
        <x:v>ifc_type_global_id</x:v>
      </x:c>
      <x:c r="Q136" s="108" t="str">
        <x:v>2IQZheitD2wPt6lF3ELfTs</x:v>
      </x:c>
      <x:c r="R136" s="108" t="str">
        <x:v>IfcSanitaryTerminal</x:v>
      </x:c>
      <x:c r="S136" s="108" t="str">
        <x:v>Gessi316 54145</x:v>
      </x:c>
      <x:c r="T136" s="108" t="str">
        <x:v>2IQZheitD2wPt6lF3ELfTs</x:v>
      </x:c>
      <x:c r="U136" s="108" t="str">
        <x:v>3jT4sCgpHC98VSIUdGUNYH</x:v>
      </x:c>
      <x:c r="V136" s="108" t="str">
        <x:v>IFC-FORMAL-001</x:v>
      </x:c>
      <x:c r="W136" s="108" t="str">
        <x:v>formal IFC inventory</x:v>
      </x:c>
      <x:c r="X136" s="108" t="str">
        <x:v>1.00</x:v>
      </x:c>
      <x:c r="Y136" s="108" t="str">
        <x:v>yes</x:v>
      </x:c>
      <x:c r="Z136" s="108" t="str">
        <x:v>ifc_inventory</x:v>
      </x:c>
      <x:c r="AA136" s="108" t="str"/>
      <x:c r="AB136" s="108" t="str">
        <x:v>对象已机械纳入覆盖；最终产品与厂家安装条件待确认</x:v>
      </x:c>
    </x:row>
    <x:row r="137" ht="34" customHeight="1">
      <x:c r="A137" s="108" t="str">
        <x:v>SAN-017</x:v>
      </x:c>
      <x:c r="B137" s="108" t="str">
        <x:v>SANITARY</x:v>
      </x:c>
      <x:c r="C137" s="108" t="str">
        <x:v>IfcSanitaryTerminal</x:v>
      </x:c>
      <x:c r="D137" s="108" t="str">
        <x:v>STREET-H</x:v>
      </x:c>
      <x:c r="E137" s="108" t="str"/>
      <x:c r="F137" s="108" t="str">
        <x:v>STREET-H</x:v>
      </x:c>
      <x:c r="G137" s="108" t="str"/>
      <x:c r="H137" s="108" t="str">
        <x:v>2</x:v>
      </x:c>
      <x:c r="I137" s="108" t="str">
        <x:v>existing</x:v>
      </x:c>
      <x:c r="J137" s="108" t="str">
        <x:v>ifc_observed</x:v>
      </x:c>
      <x:c r="K137" s="108" t="str"/>
      <x:c r="L137" s="108" t="str"/>
      <x:c r="M137" s="108" t="str"/>
      <x:c r="N137" s="108" t="str"/>
      <x:c r="O137" s="108" t="str">
        <x:v>no</x:v>
      </x:c>
      <x:c r="P137" s="108" t="str">
        <x:v>ifc_type_global_id</x:v>
      </x:c>
      <x:c r="Q137" s="108" t="str">
        <x:v>2yjeYV3aTArx4G3zDvadjf</x:v>
      </x:c>
      <x:c r="R137" s="108" t="str">
        <x:v>IfcSanitaryTerminal</x:v>
      </x:c>
      <x:c r="S137" s="108" t="str">
        <x:v>STREET-H</x:v>
      </x:c>
      <x:c r="T137" s="108" t="str">
        <x:v>2yjeYV3aTArx4G3zDvadjf</x:v>
      </x:c>
      <x:c r="U137" s="108" t="str">
        <x:v>2ajpw0I9n1dBypfISg3ejX;3PRBtW00j1D8r2Or5PTFdh</x:v>
      </x:c>
      <x:c r="V137" s="108" t="str">
        <x:v>IFC-FORMAL-001</x:v>
      </x:c>
      <x:c r="W137" s="108" t="str">
        <x:v>formal IFC inventory</x:v>
      </x:c>
      <x:c r="X137" s="108" t="str">
        <x:v>1.00</x:v>
      </x:c>
      <x:c r="Y137" s="108" t="str">
        <x:v>yes</x:v>
      </x:c>
      <x:c r="Z137" s="108" t="str">
        <x:v>ifc_inventory</x:v>
      </x:c>
      <x:c r="AA137" s="108" t="str"/>
      <x:c r="AB137" s="108" t="str">
        <x:v>对象已机械纳入覆盖；最终产品与厂家安装条件待确认</x:v>
      </x:c>
    </x:row>
    <x:row r="138" ht="34" customHeight="1">
      <x:c r="A138" s="108" t="str">
        <x:v>SAN-018</x:v>
      </x:c>
      <x:c r="B138" s="108" t="str">
        <x:v>SANITARY</x:v>
      </x:c>
      <x:c r="C138" s="108" t="str">
        <x:v>IfcSanitaryTerminal</x:v>
      </x:c>
      <x:c r="D138" s="108" t="str">
        <x:v>BS01</x:v>
      </x:c>
      <x:c r="E138" s="108" t="str"/>
      <x:c r="F138" s="108" t="str">
        <x:v>BS01</x:v>
      </x:c>
      <x:c r="G138" s="108" t="str"/>
      <x:c r="H138" s="108" t="str">
        <x:v>1</x:v>
      </x:c>
      <x:c r="I138" s="108" t="str">
        <x:v>existing</x:v>
      </x:c>
      <x:c r="J138" s="108" t="str">
        <x:v>ifc_observed</x:v>
      </x:c>
      <x:c r="K138" s="108" t="str"/>
      <x:c r="L138" s="108" t="str"/>
      <x:c r="M138" s="108" t="str"/>
      <x:c r="N138" s="108" t="str"/>
      <x:c r="O138" s="108" t="str">
        <x:v>no</x:v>
      </x:c>
      <x:c r="P138" s="108" t="str">
        <x:v>ifc_type_global_id</x:v>
      </x:c>
      <x:c r="Q138" s="108" t="str">
        <x:v>38oLfIKqXARQwHtyJLiLRP</x:v>
      </x:c>
      <x:c r="R138" s="108" t="str">
        <x:v>IfcSanitaryTerminal</x:v>
      </x:c>
      <x:c r="S138" s="108" t="str">
        <x:v>BS01</x:v>
      </x:c>
      <x:c r="T138" s="108" t="str">
        <x:v>38oLfIKqXARQwHtyJLiLRP</x:v>
      </x:c>
      <x:c r="U138" s="108" t="str">
        <x:v>350tdaubr8QP3Cu2YMQZIN</x:v>
      </x:c>
      <x:c r="V138" s="108" t="str">
        <x:v>IFC-FORMAL-001</x:v>
      </x:c>
      <x:c r="W138" s="108" t="str">
        <x:v>formal IFC inventory</x:v>
      </x:c>
      <x:c r="X138" s="108" t="str">
        <x:v>1.00</x:v>
      </x:c>
      <x:c r="Y138" s="108" t="str">
        <x:v>yes</x:v>
      </x:c>
      <x:c r="Z138" s="108" t="str">
        <x:v>ifc_inventory</x:v>
      </x:c>
      <x:c r="AA138" s="108" t="str"/>
      <x:c r="AB138" s="108" t="str">
        <x:v>对象已机械纳入覆盖；最终产品与厂家安装条件待确认</x:v>
      </x:c>
    </x:row>
    <x:row r="139" ht="34" customHeight="1">
      <x:c r="A139" s="108" t="str">
        <x:v>SAN-019</x:v>
      </x:c>
      <x:c r="B139" s="108" t="str">
        <x:v>SANITARY</x:v>
      </x:c>
      <x:c r="C139" s="108" t="str">
        <x:v>IfcSanitaryTerminal</x:v>
      </x:c>
      <x:c r="D139" s="108" t="str">
        <x:v>Geberit 154.154.00</x:v>
      </x:c>
      <x:c r="E139" s="108" t="str"/>
      <x:c r="F139" s="108" t="str">
        <x:v>Geberit 154.154.00</x:v>
      </x:c>
      <x:c r="G139" s="108" t="str"/>
      <x:c r="H139" s="108" t="str">
        <x:v>1</x:v>
      </x:c>
      <x:c r="I139" s="108" t="str">
        <x:v>existing</x:v>
      </x:c>
      <x:c r="J139" s="108" t="str">
        <x:v>ifc_observed</x:v>
      </x:c>
      <x:c r="K139" s="108" t="str"/>
      <x:c r="L139" s="108" t="str"/>
      <x:c r="M139" s="108" t="str"/>
      <x:c r="N139" s="108" t="str"/>
      <x:c r="O139" s="108" t="str">
        <x:v>no</x:v>
      </x:c>
      <x:c r="P139" s="108" t="str">
        <x:v>ifc_type_global_id</x:v>
      </x:c>
      <x:c r="Q139" s="108" t="str">
        <x:v>3TnKn8Ovn3Qx65cYxp56Fl</x:v>
      </x:c>
      <x:c r="R139" s="108" t="str">
        <x:v>IfcSanitaryTerminal</x:v>
      </x:c>
      <x:c r="S139" s="108" t="str">
        <x:v>Geberit 154.154.00</x:v>
      </x:c>
      <x:c r="T139" s="108" t="str">
        <x:v>3TnKn8Ovn3Qx65cYxp56Fl</x:v>
      </x:c>
      <x:c r="U139" s="108" t="str">
        <x:v>14EazrLgP8whYZWY_yCuKy</x:v>
      </x:c>
      <x:c r="V139" s="108" t="str">
        <x:v>IFC-FORMAL-001</x:v>
      </x:c>
      <x:c r="W139" s="108" t="str">
        <x:v>formal IFC inventory</x:v>
      </x:c>
      <x:c r="X139" s="108" t="str">
        <x:v>1.00</x:v>
      </x:c>
      <x:c r="Y139" s="108" t="str">
        <x:v>yes</x:v>
      </x:c>
      <x:c r="Z139" s="108" t="str">
        <x:v>ifc_inventory</x:v>
      </x:c>
      <x:c r="AA139" s="108" t="str"/>
      <x:c r="AB139" s="108" t="str">
        <x:v>对象已机械纳入覆盖；最终产品与厂家安装条件待确认</x:v>
      </x:c>
    </x:row>
    <x:row r="140" ht="34" customHeight="1">
      <x:c r="A140" s="108" t="str">
        <x:v>SAN-020</x:v>
      </x:c>
      <x:c r="B140" s="108" t="str">
        <x:v>SANITARY</x:v>
      </x:c>
      <x:c r="C140" s="108" t="str">
        <x:v>IfcSanitaryTerminal</x:v>
      </x:c>
      <x:c r="D140" s="108" t="str">
        <x:v>Gessi316 54038</x:v>
      </x:c>
      <x:c r="E140" s="108" t="str"/>
      <x:c r="F140" s="108" t="str">
        <x:v>Gessi316 54038</x:v>
      </x:c>
      <x:c r="G140" s="108" t="str"/>
      <x:c r="H140" s="108" t="str">
        <x:v>2</x:v>
      </x:c>
      <x:c r="I140" s="108" t="str">
        <x:v>existing</x:v>
      </x:c>
      <x:c r="J140" s="108" t="str">
        <x:v>ifc_observed</x:v>
      </x:c>
      <x:c r="K140" s="108" t="str"/>
      <x:c r="L140" s="108" t="str"/>
      <x:c r="M140" s="108" t="str"/>
      <x:c r="N140" s="108" t="str"/>
      <x:c r="O140" s="108" t="str">
        <x:v>no</x:v>
      </x:c>
      <x:c r="P140" s="108" t="str">
        <x:v>ifc_type_global_id</x:v>
      </x:c>
      <x:c r="Q140" s="108" t="str">
        <x:v>3WbkJJsCrBKe0vL$_wD4s3</x:v>
      </x:c>
      <x:c r="R140" s="108" t="str">
        <x:v>IfcSanitaryTerminal</x:v>
      </x:c>
      <x:c r="S140" s="108" t="str">
        <x:v>Gessi316 54038</x:v>
      </x:c>
      <x:c r="T140" s="108" t="str">
        <x:v>3WbkJJsCrBKe0vL$_wD4s3</x:v>
      </x:c>
      <x:c r="U140" s="108" t="str">
        <x:v>245NU$zZL0d9tYTVwwBdk$;1sgpvCENf4xQiaypKWW2JC</x:v>
      </x:c>
      <x:c r="V140" s="108" t="str">
        <x:v>IFC-FORMAL-001</x:v>
      </x:c>
      <x:c r="W140" s="108" t="str">
        <x:v>formal IFC inventory</x:v>
      </x:c>
      <x:c r="X140" s="108" t="str">
        <x:v>1.00</x:v>
      </x:c>
      <x:c r="Y140" s="108" t="str">
        <x:v>yes</x:v>
      </x:c>
      <x:c r="Z140" s="108" t="str">
        <x:v>ifc_inventory</x:v>
      </x:c>
      <x:c r="AA140" s="108" t="str"/>
      <x:c r="AB140" s="108" t="str">
        <x:v>对象已机械纳入覆盖；最终产品与厂家安装条件待确认</x:v>
      </x:c>
    </x:row>
    <x:row r="141" ht="34" customHeight="1">
      <x:c r="A141" s="108" t="str">
        <x:v>SAN-021</x:v>
      </x:c>
      <x:c r="B141" s="108" t="str">
        <x:v>SANITARY</x:v>
      </x:c>
      <x:c r="C141" s="108" t="str">
        <x:v>IfcSanitaryTerminal</x:v>
      </x:c>
      <x:c r="D141" s="108" t="str">
        <x:v>STREET</x:v>
      </x:c>
      <x:c r="E141" s="108" t="str"/>
      <x:c r="F141" s="108" t="str">
        <x:v>STREET</x:v>
      </x:c>
      <x:c r="G141" s="108" t="str"/>
      <x:c r="H141" s="108" t="str">
        <x:v>1</x:v>
      </x:c>
      <x:c r="I141" s="108" t="str">
        <x:v>existing</x:v>
      </x:c>
      <x:c r="J141" s="108" t="str">
        <x:v>ifc_observed</x:v>
      </x:c>
      <x:c r="K141" s="108" t="str"/>
      <x:c r="L141" s="108" t="str"/>
      <x:c r="M141" s="108" t="str"/>
      <x:c r="N141" s="108" t="str"/>
      <x:c r="O141" s="108" t="str">
        <x:v>no</x:v>
      </x:c>
      <x:c r="P141" s="108" t="str">
        <x:v>ifc_type_global_id</x:v>
      </x:c>
      <x:c r="Q141" s="108" t="str">
        <x:v>3m9kCyM351CxtPQVBlYtiZ</x:v>
      </x:c>
      <x:c r="R141" s="108" t="str">
        <x:v>IfcSanitaryTerminal</x:v>
      </x:c>
      <x:c r="S141" s="108" t="str">
        <x:v>STREET</x:v>
      </x:c>
      <x:c r="T141" s="108" t="str">
        <x:v>3m9kCyM351CxtPQVBlYtiZ</x:v>
      </x:c>
      <x:c r="U141" s="108" t="str">
        <x:v>1FgLPMw$5B4wBH2ySMkXE1</x:v>
      </x:c>
      <x:c r="V141" s="108" t="str">
        <x:v>IFC-FORMAL-001</x:v>
      </x:c>
      <x:c r="W141" s="108" t="str">
        <x:v>formal IFC inventory</x:v>
      </x:c>
      <x:c r="X141" s="108" t="str">
        <x:v>1.00</x:v>
      </x:c>
      <x:c r="Y141" s="108" t="str">
        <x:v>yes</x:v>
      </x:c>
      <x:c r="Z141" s="108" t="str">
        <x:v>ifc_inventory</x:v>
      </x:c>
      <x:c r="AA141" s="108" t="str"/>
      <x:c r="AB141" s="108" t="str">
        <x:v>对象已机械纳入覆盖；最终产品与厂家安装条件待确认</x:v>
      </x:c>
    </x:row>
    <x:row r="142" ht="34" customHeight="1">
      <x:c r="A142" s="108" t="str">
        <x:v>SAN-022</x:v>
      </x:c>
      <x:c r="B142" s="108" t="str">
        <x:v>SANITARY</x:v>
      </x:c>
      <x:c r="C142" s="108" t="str">
        <x:v>IfcSanitaryTerminal</x:v>
      </x:c>
      <x:c r="D142" s="108" t="str">
        <x:v>SIN01</x:v>
      </x:c>
      <x:c r="E142" s="108" t="str"/>
      <x:c r="F142" s="108" t="str">
        <x:v>SIN01</x:v>
      </x:c>
      <x:c r="G142" s="108" t="str"/>
      <x:c r="H142" s="108" t="str">
        <x:v>1</x:v>
      </x:c>
      <x:c r="I142" s="108" t="str">
        <x:v>existing</x:v>
      </x:c>
      <x:c r="J142" s="108" t="str">
        <x:v>ifc_observed</x:v>
      </x:c>
      <x:c r="K142" s="108" t="str"/>
      <x:c r="L142" s="108" t="str"/>
      <x:c r="M142" s="108" t="str"/>
      <x:c r="N142" s="108" t="str"/>
      <x:c r="O142" s="108" t="str">
        <x:v>no</x:v>
      </x:c>
      <x:c r="P142" s="108" t="str">
        <x:v>ifc_type_global_id</x:v>
      </x:c>
      <x:c r="Q142" s="108" t="str">
        <x:v>3tSxwpbPv38APuCJ7Lxbqz</x:v>
      </x:c>
      <x:c r="R142" s="108" t="str">
        <x:v>IfcSanitaryTerminal</x:v>
      </x:c>
      <x:c r="S142" s="108" t="str">
        <x:v>SIN01</x:v>
      </x:c>
      <x:c r="T142" s="108" t="str">
        <x:v>3tSxwpbPv38APuCJ7Lxbqz</x:v>
      </x:c>
      <x:c r="U142" s="108" t="str">
        <x:v>2C9JmXaZXCX9I$vMds4lYK</x:v>
      </x:c>
      <x:c r="V142" s="108" t="str">
        <x:v>IFC-FORMAL-001</x:v>
      </x:c>
      <x:c r="W142" s="108" t="str">
        <x:v>formal IFC inventory</x:v>
      </x:c>
      <x:c r="X142" s="108" t="str">
        <x:v>1.00</x:v>
      </x:c>
      <x:c r="Y142" s="108" t="str">
        <x:v>yes</x:v>
      </x:c>
      <x:c r="Z142" s="108" t="str">
        <x:v>ifc_inventory</x:v>
      </x:c>
      <x:c r="AA142" s="108" t="str"/>
      <x:c r="AB142" s="108" t="str">
        <x:v>对象已机械纳入覆盖；最终产品与厂家安装条件待确认</x:v>
      </x:c>
    </x:row>
    <x:row r="143" ht="34" customHeight="1">
      <x:c r="A143" s="108" t="str">
        <x:v>WASTE-001</x:v>
      </x:c>
      <x:c r="B143" s="108" t="str">
        <x:v>DRAINAGE</x:v>
      </x:c>
      <x:c r="C143" s="108" t="str">
        <x:v>IfcWasteTerminal</x:v>
      </x:c>
      <x:c r="D143" s="108" t="str">
        <x:v>JingAn Linear Shower Channel</x:v>
      </x:c>
      <x:c r="E143" s="108" t="str"/>
      <x:c r="F143" s="108" t="str"/>
      <x:c r="G143" s="108" t="str"/>
      <x:c r="H143" s="108" t="str">
        <x:v>1</x:v>
      </x:c>
      <x:c r="I143" s="108" t="str">
        <x:v>existing</x:v>
      </x:c>
      <x:c r="J143" s="108" t="str">
        <x:v>ifc_observed</x:v>
      </x:c>
      <x:c r="K143" s="108" t="str"/>
      <x:c r="L143" s="108" t="str"/>
      <x:c r="M143" s="108" t="str"/>
      <x:c r="N143" s="108" t="str"/>
      <x:c r="O143" s="108" t="str">
        <x:v>no</x:v>
      </x:c>
      <x:c r="P143" s="108" t="str">
        <x:v>global_id</x:v>
      </x:c>
      <x:c r="Q143" s="108" t="str">
        <x:v>3IVqCnhGr51hY4LrOq_5G_</x:v>
      </x:c>
      <x:c r="R143" s="108" t="str">
        <x:v>IfcWasteTerminal</x:v>
      </x:c>
      <x:c r="S143" s="108" t="str"/>
      <x:c r="T143" s="108" t="str"/>
      <x:c r="U143" s="108" t="str">
        <x:v>3IVqCnhGr51hY4LrOq_5G_</x:v>
      </x:c>
      <x:c r="V143" s="108" t="str">
        <x:v>IFC-FORMAL-001</x:v>
      </x:c>
      <x:c r="W143" s="108" t="str">
        <x:v>formal IFC inventory</x:v>
      </x:c>
      <x:c r="X143" s="108" t="str">
        <x:v>1.00</x:v>
      </x:c>
      <x:c r="Y143" s="108" t="str">
        <x:v>yes</x:v>
      </x:c>
      <x:c r="Z143" s="108" t="str">
        <x:v>ifc_inventory</x:v>
      </x:c>
      <x:c r="AA143" s="108" t="str"/>
      <x:c r="AB143" s="108" t="str">
        <x:v>对象已机械纳入覆盖；最终产品与厂家安装条件待确认</x:v>
      </x:c>
    </x:row>
    <x:row r="144" ht="34" customHeight="1">
      <x:c r="A144" s="108" t="str">
        <x:v>WASTE-002</x:v>
      </x:c>
      <x:c r="B144" s="108" t="str">
        <x:v>DRAINAGE</x:v>
      </x:c>
      <x:c r="C144" s="108" t="str">
        <x:v>IfcWasteTerminal</x:v>
      </x:c>
      <x:c r="D144" s="108" t="str">
        <x:v>JingAn Linear Shower Channel Aqura</x:v>
      </x:c>
      <x:c r="E144" s="108" t="str"/>
      <x:c r="F144" s="108" t="str"/>
      <x:c r="G144" s="108" t="str"/>
      <x:c r="H144" s="108" t="str">
        <x:v>2</x:v>
      </x:c>
      <x:c r="I144" s="108" t="str">
        <x:v>existing</x:v>
      </x:c>
      <x:c r="J144" s="108" t="str">
        <x:v>ifc_observed</x:v>
      </x:c>
      <x:c r="K144" s="108" t="str"/>
      <x:c r="L144" s="108" t="str"/>
      <x:c r="M144" s="108" t="str"/>
      <x:c r="N144" s="108" t="str"/>
      <x:c r="O144" s="108" t="str">
        <x:v>no</x:v>
      </x:c>
      <x:c r="P144" s="108" t="str">
        <x:v>global_id</x:v>
      </x:c>
      <x:c r="Q144" s="108" t="str">
        <x:v>0ZdhupFgf4tAoahLHQRjBq</x:v>
      </x:c>
      <x:c r="R144" s="108" t="str">
        <x:v>IfcWasteTerminal</x:v>
      </x:c>
      <x:c r="S144" s="108" t="str"/>
      <x:c r="T144" s="108" t="str"/>
      <x:c r="U144" s="108" t="str">
        <x:v>0ZdhupFgf4tAoahLHQRjBq;2sZvyk$8b2IRSOnE23XQTH</x:v>
      </x:c>
      <x:c r="V144" s="108" t="str">
        <x:v>IFC-FORMAL-001</x:v>
      </x:c>
      <x:c r="W144" s="108" t="str">
        <x:v>formal IFC inventory</x:v>
      </x:c>
      <x:c r="X144" s="108" t="str">
        <x:v>1.00</x:v>
      </x:c>
      <x:c r="Y144" s="108" t="str">
        <x:v>yes</x:v>
      </x:c>
      <x:c r="Z144" s="108" t="str">
        <x:v>ifc_inventory</x:v>
      </x:c>
      <x:c r="AA144" s="108" t="str"/>
      <x:c r="AB144" s="108" t="str">
        <x:v>对象已机械纳入覆盖；最终产品与厂家安装条件待确认</x:v>
      </x:c>
    </x:row>
    <x:row r="145" ht="34" customHeight="1">
      <x:c r="A145" s="108" t="str">
        <x:v>SENSOR-001</x:v>
      </x:c>
      <x:c r="B145" s="108" t="str">
        <x:v>SAFETY</x:v>
      </x:c>
      <x:c r="C145" s="108" t="str">
        <x:v>IfcSensor</x:v>
      </x:c>
      <x:c r="D145" s="108" t="str">
        <x:v>A106-FIRE-R04</x:v>
      </x:c>
      <x:c r="E145" s="108" t="str"/>
      <x:c r="F145" s="108" t="str"/>
      <x:c r="G145" s="108" t="str"/>
      <x:c r="H145" s="108" t="str">
        <x:v>1</x:v>
      </x:c>
      <x:c r="I145" s="108" t="str">
        <x:v>existing</x:v>
      </x:c>
      <x:c r="J145" s="108" t="str">
        <x:v>ifc_observed</x:v>
      </x:c>
      <x:c r="K145" s="108" t="str"/>
      <x:c r="L145" s="108" t="str"/>
      <x:c r="M145" s="108" t="str"/>
      <x:c r="N145" s="108" t="str"/>
      <x:c r="O145" s="108" t="str">
        <x:v>no</x:v>
      </x:c>
      <x:c r="P145" s="108" t="str">
        <x:v>global_id</x:v>
      </x:c>
      <x:c r="Q145" s="108" t="str">
        <x:v>2fwceKahvBqQXqal2ZcIUF</x:v>
      </x:c>
      <x:c r="R145" s="108" t="str">
        <x:v>IfcSensor</x:v>
      </x:c>
      <x:c r="S145" s="108" t="str"/>
      <x:c r="T145" s="108" t="str"/>
      <x:c r="U145" s="108" t="str">
        <x:v>2fwceKahvBqQXqal2ZcIUF</x:v>
      </x:c>
      <x:c r="V145" s="108" t="str">
        <x:v>IFC-FORMAL-001</x:v>
      </x:c>
      <x:c r="W145" s="108" t="str">
        <x:v>formal IFC inventory</x:v>
      </x:c>
      <x:c r="X145" s="108" t="str">
        <x:v>1.00</x:v>
      </x:c>
      <x:c r="Y145" s="108" t="str">
        <x:v>yes</x:v>
      </x:c>
      <x:c r="Z145" s="108" t="str">
        <x:v>ifc_inventory</x:v>
      </x:c>
      <x:c r="AA145" s="108" t="str"/>
      <x:c r="AB145" s="108" t="str">
        <x:v>对象已机械纳入覆盖；最终产品与厂家安装条件待确认</x:v>
      </x:c>
    </x:row>
    <x:row r="146" ht="34" customHeight="1">
      <x:c r="A146" s="108" t="str">
        <x:v>PLUMASM-001</x:v>
      </x:c>
      <x:c r="B146" s="108" t="str">
        <x:v>ASSEMBLY</x:v>
      </x:c>
      <x:c r="C146" s="108" t="str">
        <x:v>IfcElementAssembly</x:v>
      </x:c>
      <x:c r="D146" s="108" t="str">
        <x:v>Drain Center</x:v>
      </x:c>
      <x:c r="E146" s="108" t="str"/>
      <x:c r="F146" s="108" t="str"/>
      <x:c r="G146" s="108" t="str"/>
      <x:c r="H146" s="108" t="str">
        <x:v>1</x:v>
      </x:c>
      <x:c r="I146" s="108" t="str">
        <x:v>existing</x:v>
      </x:c>
      <x:c r="J146" s="108" t="str">
        <x:v>ifc_observed</x:v>
      </x:c>
      <x:c r="K146" s="108" t="str"/>
      <x:c r="L146" s="108" t="str"/>
      <x:c r="M146" s="108" t="str"/>
      <x:c r="N146" s="108" t="str"/>
      <x:c r="O146" s="108" t="str">
        <x:v>no</x:v>
      </x:c>
      <x:c r="P146" s="108" t="str">
        <x:v>global_id</x:v>
      </x:c>
      <x:c r="Q146" s="108" t="str">
        <x:v>1fEFh83259DRb927ZP9yW7</x:v>
      </x:c>
      <x:c r="R146" s="108" t="str">
        <x:v>IfcElementAssembly</x:v>
      </x:c>
      <x:c r="S146" s="108" t="str"/>
      <x:c r="T146" s="108" t="str"/>
      <x:c r="U146" s="108" t="str">
        <x:v>1fEFh83259DRb927ZP9yW7</x:v>
      </x:c>
      <x:c r="V146" s="108" t="str">
        <x:v>IFC-FORMAL-001</x:v>
      </x:c>
      <x:c r="W146" s="108" t="str">
        <x:v>formal IFC inventory</x:v>
      </x:c>
      <x:c r="X146" s="108" t="str">
        <x:v>1.00</x:v>
      </x:c>
      <x:c r="Y146" s="108" t="str">
        <x:v>yes</x:v>
      </x:c>
      <x:c r="Z146" s="108" t="str">
        <x:v>ifc_inventory</x:v>
      </x:c>
      <x:c r="AA146" s="108" t="str"/>
      <x:c r="AB146" s="108" t="str">
        <x:v>对象已机械纳入覆盖；最终产品与厂家安装条件待确认</x:v>
      </x:c>
    </x:row>
    <x:row r="147" ht="34" customHeight="1">
      <x:c r="A147" s="108" t="str">
        <x:v>PLUMASM-002</x:v>
      </x:c>
      <x:c r="B147" s="108" t="str">
        <x:v>ASSEMBLY</x:v>
      </x:c>
      <x:c r="C147" s="108" t="str">
        <x:v>IfcElementAssembly</x:v>
      </x:c>
      <x:c r="D147" s="108" t="str">
        <x:v>WC</x:v>
      </x:c>
      <x:c r="E147" s="108" t="str"/>
      <x:c r="F147" s="108" t="str"/>
      <x:c r="G147" s="108" t="str"/>
      <x:c r="H147" s="108" t="str">
        <x:v>1</x:v>
      </x:c>
      <x:c r="I147" s="108" t="str">
        <x:v>existing</x:v>
      </x:c>
      <x:c r="J147" s="108" t="str">
        <x:v>ifc_observed</x:v>
      </x:c>
      <x:c r="K147" s="108" t="str"/>
      <x:c r="L147" s="108" t="str"/>
      <x:c r="M147" s="108" t="str"/>
      <x:c r="N147" s="108" t="str"/>
      <x:c r="O147" s="108" t="str">
        <x:v>no</x:v>
      </x:c>
      <x:c r="P147" s="108" t="str">
        <x:v>global_id</x:v>
      </x:c>
      <x:c r="Q147" s="108" t="str">
        <x:v>1FICW5lCjEIQPvN1oi4cE2</x:v>
      </x:c>
      <x:c r="R147" s="108" t="str">
        <x:v>IfcElementAssembly</x:v>
      </x:c>
      <x:c r="S147" s="108" t="str"/>
      <x:c r="T147" s="108" t="str"/>
      <x:c r="U147" s="108" t="str">
        <x:v>1FICW5lCjEIQPvN1oi4cE2</x:v>
      </x:c>
      <x:c r="V147" s="108" t="str">
        <x:v>IFC-FORMAL-001</x:v>
      </x:c>
      <x:c r="W147" s="108" t="str">
        <x:v>formal IFC inventory</x:v>
      </x:c>
      <x:c r="X147" s="108" t="str">
        <x:v>1.00</x:v>
      </x:c>
      <x:c r="Y147" s="108" t="str">
        <x:v>yes</x:v>
      </x:c>
      <x:c r="Z147" s="108" t="str">
        <x:v>ifc_inventory</x:v>
      </x:c>
      <x:c r="AA147" s="108" t="str"/>
      <x:c r="AB147" s="108" t="str">
        <x:v>对象已机械纳入覆盖；最终产品与厂家安装条件待确认</x:v>
      </x:c>
    </x:row>
    <x:row r="148" ht="34" customHeight="1">
      <x:c r="A148" s="108" t="str">
        <x:v>PLUMASM-003</x:v>
      </x:c>
      <x:c r="B148" s="108" t="str">
        <x:v>ASSEMBLY</x:v>
      </x:c>
      <x:c r="C148" s="108" t="str">
        <x:v>IfcElementAssembly</x:v>
      </x:c>
      <x:c r="D148" s="108" t="str">
        <x:v>WC_01</x:v>
      </x:c>
      <x:c r="E148" s="108" t="str"/>
      <x:c r="F148" s="108" t="str"/>
      <x:c r="G148" s="108" t="str"/>
      <x:c r="H148" s="108" t="str">
        <x:v>1</x:v>
      </x:c>
      <x:c r="I148" s="108" t="str">
        <x:v>existing</x:v>
      </x:c>
      <x:c r="J148" s="108" t="str">
        <x:v>ifc_observed</x:v>
      </x:c>
      <x:c r="K148" s="108" t="str"/>
      <x:c r="L148" s="108" t="str"/>
      <x:c r="M148" s="108" t="str"/>
      <x:c r="N148" s="108" t="str"/>
      <x:c r="O148" s="108" t="str">
        <x:v>no</x:v>
      </x:c>
      <x:c r="P148" s="108" t="str">
        <x:v>global_id</x:v>
      </x:c>
      <x:c r="Q148" s="108" t="str">
        <x:v>0a3r2aWdbFi9OlDGcQ00CE</x:v>
      </x:c>
      <x:c r="R148" s="108" t="str">
        <x:v>IfcElementAssembly</x:v>
      </x:c>
      <x:c r="S148" s="108" t="str"/>
      <x:c r="T148" s="108" t="str"/>
      <x:c r="U148" s="108" t="str">
        <x:v>0a3r2aWdbFi9OlDGcQ00CE</x:v>
      </x:c>
      <x:c r="V148" s="108" t="str">
        <x:v>IFC-FORMAL-001</x:v>
      </x:c>
      <x:c r="W148" s="108" t="str">
        <x:v>formal IFC inventory</x:v>
      </x:c>
      <x:c r="X148" s="108" t="str">
        <x:v>1.00</x:v>
      </x:c>
      <x:c r="Y148" s="108" t="str">
        <x:v>yes</x:v>
      </x:c>
      <x:c r="Z148" s="108" t="str">
        <x:v>ifc_inventory</x:v>
      </x:c>
      <x:c r="AA148" s="108" t="str"/>
      <x:c r="AB148" s="108" t="str">
        <x:v>对象已机械纳入覆盖；最终产品与厂家安装条件待确认</x:v>
      </x:c>
    </x:row>
  </x:sheetData>
  <x:mergeCells>
    <x:mergeCell ref="A1:AB1"/>
  </x:mergeCells>
  <x:pageMargins left="0.7" right="0.7" top="0.75" bottom="0.75" header="0.3" footer="0.3"/>
  <x:tableParts count="1">
    <x:tablePart xmlns:r="http://schemas.openxmlformats.org/officeDocument/2006/relationships" r:id="R4d3be995382f496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2" hidden="0" customWidth="1"/>
  </x:cols>
  <x:sheetData>
    <x:row r="1" ht="28" customHeight="1">
      <x:c r="A1" s="100" t="str">
        <x:v>一行一个安装参数；候选值不等于确认（只读派生）</x:v>
      </x:c>
    </x:row>
    <x:row r="2" ht="32" customHeight="1">
      <x:c r="A2" s="105" t="str">
        <x:v>requirement_id</x:v>
      </x:c>
      <x:c r="B2" s="105" t="str">
        <x:v>equipment_id</x:v>
      </x:c>
      <x:c r="C2" s="105" t="str">
        <x:v>discipline</x:v>
      </x:c>
      <x:c r="D2" s="105" t="str">
        <x:v>parameter_key</x:v>
      </x:c>
      <x:c r="E2" s="105" t="str">
        <x:v>value_text</x:v>
      </x:c>
      <x:c r="F2" s="105" t="str">
        <x:v>value_number</x:v>
      </x:c>
      <x:c r="G2" s="105" t="str">
        <x:v>unit</x:v>
      </x:c>
      <x:c r="H2" s="105" t="str">
        <x:v>datum</x:v>
      </x:c>
      <x:c r="I2" s="105" t="str">
        <x:v>value_origin</x:v>
      </x:c>
      <x:c r="J2" s="105" t="str">
        <x:v>status</x:v>
      </x:c>
      <x:c r="K2" s="105" t="str">
        <x:v>source_id</x:v>
      </x:c>
      <x:c r="L2" s="105" t="str">
        <x:v>source_locator</x:v>
      </x:c>
      <x:c r="M2" s="105" t="str">
        <x:v>blocks_release</x:v>
      </x:c>
      <x:c r="N2" s="105" t="str">
        <x:v>notes</x:v>
      </x:c>
    </x:row>
    <x:row r="3" ht="34" customHeight="1">
      <x:c r="A3" s="108" t="str">
        <x:v>REQ-0001</x:v>
      </x:c>
      <x:c r="B3" s="108" t="str">
        <x:v>APP-001</x:v>
      </x:c>
      <x:c r="C3" s="108" t="str">
        <x:v>ELEC</x:v>
      </x:c>
      <x:c r="D3" s="108" t="str">
        <x:v>rated_power</x:v>
      </x:c>
      <x:c r="E3" s="108" t="str"/>
      <x:c r="F3" s="108" t="str"/>
      <x:c r="G3" s="108" t="str">
        <x:v>W</x:v>
      </x:c>
      <x:c r="H3" s="108" t="str"/>
      <x:c r="I3" s="108" t="str">
        <x:v>user_input</x:v>
      </x:c>
      <x:c r="J3" s="108" t="str">
        <x:v>pending</x:v>
      </x:c>
      <x:c r="K3" s="108" t="str"/>
      <x:c r="L3" s="108" t="str"/>
      <x:c r="M3" s="108" t="str">
        <x:v>yes</x:v>
      </x:c>
      <x:c r="N3" s="108" t="str"/>
    </x:row>
    <x:row r="4" ht="34" customHeight="1">
      <x:c r="A4" s="108" t="str">
        <x:v>REQ-0002</x:v>
      </x:c>
      <x:c r="B4" s="108" t="str">
        <x:v>APP-001</x:v>
      </x:c>
      <x:c r="C4" s="108" t="str">
        <x:v>ELEC</x:v>
      </x:c>
      <x:c r="D4" s="108" t="str">
        <x:v>simultaneous_group</x:v>
      </x:c>
      <x:c r="E4" s="108" t="str">
        <x:v>NS01-A</x:v>
      </x:c>
      <x:c r="F4" s="108" t="str"/>
      <x:c r="G4" s="108" t="str"/>
      <x:c r="H4" s="108" t="str"/>
      <x:c r="I4" s="108" t="str">
        <x:v>user_input</x:v>
      </x:c>
      <x:c r="J4" s="108" t="str">
        <x:v>confirmed</x:v>
      </x:c>
      <x:c r="K4" s="108" t="str"/>
      <x:c r="L4" s="108" t="str"/>
      <x:c r="M4" s="108" t="str">
        <x:v>no</x:v>
      </x:c>
      <x:c r="N4" s="108" t="str"/>
    </x:row>
    <x:row r="5" ht="34" customHeight="1">
      <x:c r="A5" s="108" t="str">
        <x:v>REQ-0003</x:v>
      </x:c>
      <x:c r="B5" s="108" t="str">
        <x:v>APP-001</x:v>
      </x:c>
      <x:c r="C5" s="108" t="str">
        <x:v>PLUM</x:v>
      </x:c>
      <x:c r="D5" s="108" t="str">
        <x:v>water_required</x:v>
      </x:c>
      <x:c r="E5" s="108" t="str">
        <x:v>no</x:v>
      </x:c>
      <x:c r="F5" s="108" t="str"/>
      <x:c r="G5" s="108" t="str"/>
      <x:c r="H5" s="108" t="str"/>
      <x:c r="I5" s="108" t="str">
        <x:v>user_input</x:v>
      </x:c>
      <x:c r="J5" s="108" t="str">
        <x:v>confirmed</x:v>
      </x:c>
      <x:c r="K5" s="108" t="str"/>
      <x:c r="L5" s="108" t="str"/>
      <x:c r="M5" s="108" t="str">
        <x:v>no</x:v>
      </x:c>
      <x:c r="N5" s="108" t="str"/>
    </x:row>
    <x:row r="6" ht="34" customHeight="1">
      <x:c r="A6" s="108" t="str">
        <x:v>REQ-0004</x:v>
      </x:c>
      <x:c r="B6" s="108" t="str">
        <x:v>APP-001</x:v>
      </x:c>
      <x:c r="C6" s="108" t="str">
        <x:v>PLUM</x:v>
      </x:c>
      <x:c r="D6" s="108" t="str">
        <x:v>drain_required</x:v>
      </x:c>
      <x:c r="E6" s="108" t="str">
        <x:v>no</x:v>
      </x:c>
      <x:c r="F6" s="108" t="str"/>
      <x:c r="G6" s="108" t="str"/>
      <x:c r="H6" s="108" t="str"/>
      <x:c r="I6" s="108" t="str">
        <x:v>user_input</x:v>
      </x:c>
      <x:c r="J6" s="108" t="str">
        <x:v>confirmed</x:v>
      </x:c>
      <x:c r="K6" s="108" t="str"/>
      <x:c r="L6" s="108" t="str"/>
      <x:c r="M6" s="108" t="str">
        <x:v>no</x:v>
      </x:c>
      <x:c r="N6" s="108" t="str"/>
    </x:row>
    <x:row r="7" ht="34" customHeight="1">
      <x:c r="A7" s="108" t="str">
        <x:v>REQ-0005</x:v>
      </x:c>
      <x:c r="B7" s="108" t="str">
        <x:v>APP-001</x:v>
      </x:c>
      <x:c r="C7" s="108" t="str">
        <x:v>GAS</x:v>
      </x:c>
      <x:c r="D7" s="108" t="str">
        <x:v>gas_required</x:v>
      </x:c>
      <x:c r="E7" s="108" t="str">
        <x:v>no</x:v>
      </x:c>
      <x:c r="F7" s="108" t="str"/>
      <x:c r="G7" s="108" t="str"/>
      <x:c r="H7" s="108" t="str"/>
      <x:c r="I7" s="108" t="str">
        <x:v>user_input</x:v>
      </x:c>
      <x:c r="J7" s="108" t="str">
        <x:v>confirmed</x:v>
      </x:c>
      <x:c r="K7" s="108" t="str"/>
      <x:c r="L7" s="108" t="str"/>
      <x:c r="M7" s="108" t="str">
        <x:v>no</x:v>
      </x:c>
      <x:c r="N7" s="108" t="str"/>
    </x:row>
    <x:row r="8" ht="34" customHeight="1">
      <x:c r="A8" s="108" t="str">
        <x:v>REQ-0006</x:v>
      </x:c>
      <x:c r="B8" s="108" t="str">
        <x:v>APP-001</x:v>
      </x:c>
      <x:c r="C8" s="108" t="str">
        <x:v>HVAC</x:v>
      </x:c>
      <x:c r="D8" s="108" t="str">
        <x:v>ventilation_required</x:v>
      </x:c>
      <x:c r="E8" s="108" t="str">
        <x:v>no</x:v>
      </x:c>
      <x:c r="F8" s="108" t="str"/>
      <x:c r="G8" s="108" t="str"/>
      <x:c r="H8" s="108" t="str"/>
      <x:c r="I8" s="108" t="str">
        <x:v>user_input</x:v>
      </x:c>
      <x:c r="J8" s="108" t="str">
        <x:v>confirmed</x:v>
      </x:c>
      <x:c r="K8" s="108" t="str"/>
      <x:c r="L8" s="108" t="str"/>
      <x:c r="M8" s="108" t="str">
        <x:v>no</x:v>
      </x:c>
      <x:c r="N8" s="108" t="str"/>
    </x:row>
    <x:row r="9" ht="34" customHeight="1">
      <x:c r="A9" s="108" t="str">
        <x:v>REQ-0007</x:v>
      </x:c>
      <x:c r="B9" s="108" t="str">
        <x:v>APP-002</x:v>
      </x:c>
      <x:c r="C9" s="108" t="str">
        <x:v>ELEC</x:v>
      </x:c>
      <x:c r="D9" s="108" t="str">
        <x:v>rated_power</x:v>
      </x:c>
      <x:c r="E9" s="108" t="str"/>
      <x:c r="F9" s="108" t="str"/>
      <x:c r="G9" s="108" t="str">
        <x:v>W</x:v>
      </x:c>
      <x:c r="H9" s="108" t="str"/>
      <x:c r="I9" s="108" t="str">
        <x:v>user_input</x:v>
      </x:c>
      <x:c r="J9" s="108" t="str">
        <x:v>pending</x:v>
      </x:c>
      <x:c r="K9" s="108" t="str"/>
      <x:c r="L9" s="108" t="str"/>
      <x:c r="M9" s="108" t="str">
        <x:v>yes</x:v>
      </x:c>
      <x:c r="N9" s="108" t="str"/>
    </x:row>
    <x:row r="10" ht="34" customHeight="1">
      <x:c r="A10" s="108" t="str">
        <x:v>REQ-0008</x:v>
      </x:c>
      <x:c r="B10" s="108" t="str">
        <x:v>APP-002</x:v>
      </x:c>
      <x:c r="C10" s="108" t="str">
        <x:v>ELEC</x:v>
      </x:c>
      <x:c r="D10" s="108" t="str">
        <x:v>simultaneous_group</x:v>
      </x:c>
      <x:c r="E10" s="108" t="str">
        <x:v>NS01-B</x:v>
      </x:c>
      <x:c r="F10" s="108" t="str"/>
      <x:c r="G10" s="108" t="str"/>
      <x:c r="H10" s="108" t="str"/>
      <x:c r="I10" s="108" t="str">
        <x:v>user_input</x:v>
      </x:c>
      <x:c r="J10" s="108" t="str">
        <x:v>confirmed</x:v>
      </x:c>
      <x:c r="K10" s="108" t="str"/>
      <x:c r="L10" s="108" t="str"/>
      <x:c r="M10" s="108" t="str">
        <x:v>no</x:v>
      </x:c>
      <x:c r="N10" s="108" t="str"/>
    </x:row>
    <x:row r="11" ht="34" customHeight="1">
      <x:c r="A11" s="108" t="str">
        <x:v>REQ-0009</x:v>
      </x:c>
      <x:c r="B11" s="108" t="str">
        <x:v>APP-002</x:v>
      </x:c>
      <x:c r="C11" s="108" t="str">
        <x:v>PLUM</x:v>
      </x:c>
      <x:c r="D11" s="108" t="str">
        <x:v>water_required</x:v>
      </x:c>
      <x:c r="E11" s="108" t="str">
        <x:v>no</x:v>
      </x:c>
      <x:c r="F11" s="108" t="str"/>
      <x:c r="G11" s="108" t="str"/>
      <x:c r="H11" s="108" t="str"/>
      <x:c r="I11" s="108" t="str">
        <x:v>user_input</x:v>
      </x:c>
      <x:c r="J11" s="108" t="str">
        <x:v>confirmed</x:v>
      </x:c>
      <x:c r="K11" s="108" t="str"/>
      <x:c r="L11" s="108" t="str"/>
      <x:c r="M11" s="108" t="str">
        <x:v>no</x:v>
      </x:c>
      <x:c r="N11" s="108" t="str"/>
    </x:row>
    <x:row r="12" ht="34" customHeight="1">
      <x:c r="A12" s="108" t="str">
        <x:v>REQ-0010</x:v>
      </x:c>
      <x:c r="B12" s="108" t="str">
        <x:v>APP-002</x:v>
      </x:c>
      <x:c r="C12" s="108" t="str">
        <x:v>PLUM</x:v>
      </x:c>
      <x:c r="D12" s="108" t="str">
        <x:v>drain_required</x:v>
      </x:c>
      <x:c r="E12" s="108" t="str">
        <x:v>no</x:v>
      </x:c>
      <x:c r="F12" s="108" t="str"/>
      <x:c r="G12" s="108" t="str"/>
      <x:c r="H12" s="108" t="str"/>
      <x:c r="I12" s="108" t="str">
        <x:v>user_input</x:v>
      </x:c>
      <x:c r="J12" s="108" t="str">
        <x:v>confirmed</x:v>
      </x:c>
      <x:c r="K12" s="108" t="str"/>
      <x:c r="L12" s="108" t="str"/>
      <x:c r="M12" s="108" t="str">
        <x:v>no</x:v>
      </x:c>
      <x:c r="N12" s="108" t="str"/>
    </x:row>
    <x:row r="13" ht="34" customHeight="1">
      <x:c r="A13" s="108" t="str">
        <x:v>REQ-0011</x:v>
      </x:c>
      <x:c r="B13" s="108" t="str">
        <x:v>APP-002</x:v>
      </x:c>
      <x:c r="C13" s="108" t="str">
        <x:v>GAS</x:v>
      </x:c>
      <x:c r="D13" s="108" t="str">
        <x:v>gas_required</x:v>
      </x:c>
      <x:c r="E13" s="108" t="str">
        <x:v>no</x:v>
      </x:c>
      <x:c r="F13" s="108" t="str"/>
      <x:c r="G13" s="108" t="str"/>
      <x:c r="H13" s="108" t="str"/>
      <x:c r="I13" s="108" t="str">
        <x:v>user_input</x:v>
      </x:c>
      <x:c r="J13" s="108" t="str">
        <x:v>confirmed</x:v>
      </x:c>
      <x:c r="K13" s="108" t="str"/>
      <x:c r="L13" s="108" t="str"/>
      <x:c r="M13" s="108" t="str">
        <x:v>no</x:v>
      </x:c>
      <x:c r="N13" s="108" t="str"/>
    </x:row>
    <x:row r="14" ht="34" customHeight="1">
      <x:c r="A14" s="108" t="str">
        <x:v>REQ-0012</x:v>
      </x:c>
      <x:c r="B14" s="108" t="str">
        <x:v>APP-002</x:v>
      </x:c>
      <x:c r="C14" s="108" t="str">
        <x:v>HVAC</x:v>
      </x:c>
      <x:c r="D14" s="108" t="str">
        <x:v>ventilation_required</x:v>
      </x:c>
      <x:c r="E14" s="108" t="str">
        <x:v>no</x:v>
      </x:c>
      <x:c r="F14" s="108" t="str"/>
      <x:c r="G14" s="108" t="str"/>
      <x:c r="H14" s="108" t="str"/>
      <x:c r="I14" s="108" t="str">
        <x:v>user_input</x:v>
      </x:c>
      <x:c r="J14" s="108" t="str">
        <x:v>confirmed</x:v>
      </x:c>
      <x:c r="K14" s="108" t="str"/>
      <x:c r="L14" s="108" t="str"/>
      <x:c r="M14" s="108" t="str">
        <x:v>no</x:v>
      </x:c>
      <x:c r="N14" s="108" t="str"/>
    </x:row>
    <x:row r="15" ht="34" customHeight="1">
      <x:c r="A15" s="108" t="str">
        <x:v>REQ-0013</x:v>
      </x:c>
      <x:c r="B15" s="108" t="str">
        <x:v>APP-003</x:v>
      </x:c>
      <x:c r="C15" s="108" t="str">
        <x:v>ELEC</x:v>
      </x:c>
      <x:c r="D15" s="108" t="str">
        <x:v>rated_power</x:v>
      </x:c>
      <x:c r="E15" s="108" t="str"/>
      <x:c r="F15" s="108" t="str"/>
      <x:c r="G15" s="108" t="str">
        <x:v>W</x:v>
      </x:c>
      <x:c r="H15" s="108" t="str"/>
      <x:c r="I15" s="108" t="str">
        <x:v>user_input</x:v>
      </x:c>
      <x:c r="J15" s="108" t="str">
        <x:v>pending</x:v>
      </x:c>
      <x:c r="K15" s="108" t="str"/>
      <x:c r="L15" s="108" t="str"/>
      <x:c r="M15" s="108" t="str">
        <x:v>yes</x:v>
      </x:c>
      <x:c r="N15" s="108" t="str"/>
    </x:row>
    <x:row r="16" ht="34" customHeight="1">
      <x:c r="A16" s="108" t="str">
        <x:v>REQ-0014</x:v>
      </x:c>
      <x:c r="B16" s="108" t="str">
        <x:v>APP-003</x:v>
      </x:c>
      <x:c r="C16" s="108" t="str">
        <x:v>ELEC</x:v>
      </x:c>
      <x:c r="D16" s="108" t="str">
        <x:v>simultaneous_group</x:v>
      </x:c>
      <x:c r="E16" s="108" t="str">
        <x:v>NS01-B</x:v>
      </x:c>
      <x:c r="F16" s="108" t="str"/>
      <x:c r="G16" s="108" t="str"/>
      <x:c r="H16" s="108" t="str"/>
      <x:c r="I16" s="108" t="str">
        <x:v>user_input</x:v>
      </x:c>
      <x:c r="J16" s="108" t="str">
        <x:v>confirmed</x:v>
      </x:c>
      <x:c r="K16" s="108" t="str"/>
      <x:c r="L16" s="108" t="str"/>
      <x:c r="M16" s="108" t="str">
        <x:v>no</x:v>
      </x:c>
      <x:c r="N16" s="108" t="str"/>
    </x:row>
    <x:row r="17" ht="34" customHeight="1">
      <x:c r="A17" s="108" t="str">
        <x:v>REQ-0015</x:v>
      </x:c>
      <x:c r="B17" s="108" t="str">
        <x:v>APP-003</x:v>
      </x:c>
      <x:c r="C17" s="108" t="str">
        <x:v>PLUM</x:v>
      </x:c>
      <x:c r="D17" s="108" t="str">
        <x:v>water_required</x:v>
      </x:c>
      <x:c r="E17" s="108" t="str">
        <x:v>no</x:v>
      </x:c>
      <x:c r="F17" s="108" t="str"/>
      <x:c r="G17" s="108" t="str"/>
      <x:c r="H17" s="108" t="str"/>
      <x:c r="I17" s="108" t="str">
        <x:v>user_input</x:v>
      </x:c>
      <x:c r="J17" s="108" t="str">
        <x:v>confirmed</x:v>
      </x:c>
      <x:c r="K17" s="108" t="str"/>
      <x:c r="L17" s="108" t="str"/>
      <x:c r="M17" s="108" t="str">
        <x:v>no</x:v>
      </x:c>
      <x:c r="N17" s="108" t="str"/>
    </x:row>
    <x:row r="18" ht="34" customHeight="1">
      <x:c r="A18" s="108" t="str">
        <x:v>REQ-0016</x:v>
      </x:c>
      <x:c r="B18" s="108" t="str">
        <x:v>APP-003</x:v>
      </x:c>
      <x:c r="C18" s="108" t="str">
        <x:v>PLUM</x:v>
      </x:c>
      <x:c r="D18" s="108" t="str">
        <x:v>drain_required</x:v>
      </x:c>
      <x:c r="E18" s="108" t="str">
        <x:v>no</x:v>
      </x:c>
      <x:c r="F18" s="108" t="str"/>
      <x:c r="G18" s="108" t="str"/>
      <x:c r="H18" s="108" t="str"/>
      <x:c r="I18" s="108" t="str">
        <x:v>user_input</x:v>
      </x:c>
      <x:c r="J18" s="108" t="str">
        <x:v>confirmed</x:v>
      </x:c>
      <x:c r="K18" s="108" t="str"/>
      <x:c r="L18" s="108" t="str"/>
      <x:c r="M18" s="108" t="str">
        <x:v>no</x:v>
      </x:c>
      <x:c r="N18" s="108" t="str"/>
    </x:row>
    <x:row r="19" ht="34" customHeight="1">
      <x:c r="A19" s="108" t="str">
        <x:v>REQ-0017</x:v>
      </x:c>
      <x:c r="B19" s="108" t="str">
        <x:v>APP-003</x:v>
      </x:c>
      <x:c r="C19" s="108" t="str">
        <x:v>GAS</x:v>
      </x:c>
      <x:c r="D19" s="108" t="str">
        <x:v>gas_required</x:v>
      </x:c>
      <x:c r="E19" s="108" t="str">
        <x:v>no</x:v>
      </x:c>
      <x:c r="F19" s="108" t="str"/>
      <x:c r="G19" s="108" t="str"/>
      <x:c r="H19" s="108" t="str"/>
      <x:c r="I19" s="108" t="str">
        <x:v>user_input</x:v>
      </x:c>
      <x:c r="J19" s="108" t="str">
        <x:v>confirmed</x:v>
      </x:c>
      <x:c r="K19" s="108" t="str"/>
      <x:c r="L19" s="108" t="str"/>
      <x:c r="M19" s="108" t="str">
        <x:v>no</x:v>
      </x:c>
      <x:c r="N19" s="108" t="str"/>
    </x:row>
    <x:row r="20" ht="34" customHeight="1">
      <x:c r="A20" s="108" t="str">
        <x:v>REQ-0018</x:v>
      </x:c>
      <x:c r="B20" s="108" t="str">
        <x:v>APP-003</x:v>
      </x:c>
      <x:c r="C20" s="108" t="str">
        <x:v>HVAC</x:v>
      </x:c>
      <x:c r="D20" s="108" t="str">
        <x:v>ventilation_required</x:v>
      </x:c>
      <x:c r="E20" s="108" t="str">
        <x:v>no</x:v>
      </x:c>
      <x:c r="F20" s="108" t="str"/>
      <x:c r="G20" s="108" t="str"/>
      <x:c r="H20" s="108" t="str"/>
      <x:c r="I20" s="108" t="str">
        <x:v>user_input</x:v>
      </x:c>
      <x:c r="J20" s="108" t="str">
        <x:v>confirmed</x:v>
      </x:c>
      <x:c r="K20" s="108" t="str"/>
      <x:c r="L20" s="108" t="str"/>
      <x:c r="M20" s="108" t="str">
        <x:v>no</x:v>
      </x:c>
      <x:c r="N20" s="108" t="str"/>
    </x:row>
    <x:row r="21" ht="34" customHeight="1">
      <x:c r="A21" s="108" t="str">
        <x:v>REQ-0019</x:v>
      </x:c>
      <x:c r="B21" s="108" t="str">
        <x:v>APP-004</x:v>
      </x:c>
      <x:c r="C21" s="108" t="str">
        <x:v>ELEC</x:v>
      </x:c>
      <x:c r="D21" s="108" t="str">
        <x:v>rated_power</x:v>
      </x:c>
      <x:c r="E21" s="108" t="str"/>
      <x:c r="F21" s="108" t="str"/>
      <x:c r="G21" s="108" t="str">
        <x:v>W</x:v>
      </x:c>
      <x:c r="H21" s="108" t="str"/>
      <x:c r="I21" s="108" t="str">
        <x:v>user_input</x:v>
      </x:c>
      <x:c r="J21" s="108" t="str">
        <x:v>pending</x:v>
      </x:c>
      <x:c r="K21" s="108" t="str"/>
      <x:c r="L21" s="108" t="str"/>
      <x:c r="M21" s="108" t="str">
        <x:v>yes</x:v>
      </x:c>
      <x:c r="N21" s="108" t="str"/>
    </x:row>
    <x:row r="22" ht="34" customHeight="1">
      <x:c r="A22" s="108" t="str">
        <x:v>REQ-0020</x:v>
      </x:c>
      <x:c r="B22" s="108" t="str">
        <x:v>APP-004</x:v>
      </x:c>
      <x:c r="C22" s="108" t="str">
        <x:v>ELEC</x:v>
      </x:c>
      <x:c r="D22" s="108" t="str">
        <x:v>simultaneous_group</x:v>
      </x:c>
      <x:c r="E22" s="108" t="str">
        <x:v>NS02-A</x:v>
      </x:c>
      <x:c r="F22" s="108" t="str"/>
      <x:c r="G22" s="108" t="str"/>
      <x:c r="H22" s="108" t="str"/>
      <x:c r="I22" s="108" t="str">
        <x:v>user_input</x:v>
      </x:c>
      <x:c r="J22" s="108" t="str">
        <x:v>confirmed</x:v>
      </x:c>
      <x:c r="K22" s="108" t="str"/>
      <x:c r="L22" s="108" t="str"/>
      <x:c r="M22" s="108" t="str">
        <x:v>no</x:v>
      </x:c>
      <x:c r="N22" s="108" t="str"/>
    </x:row>
    <x:row r="23" ht="34" customHeight="1">
      <x:c r="A23" s="108" t="str">
        <x:v>REQ-0021</x:v>
      </x:c>
      <x:c r="B23" s="108" t="str">
        <x:v>APP-004</x:v>
      </x:c>
      <x:c r="C23" s="108" t="str">
        <x:v>PLUM</x:v>
      </x:c>
      <x:c r="D23" s="108" t="str">
        <x:v>water_required</x:v>
      </x:c>
      <x:c r="E23" s="108" t="str">
        <x:v>model_dependent</x:v>
      </x:c>
      <x:c r="F23" s="108" t="str"/>
      <x:c r="G23" s="108" t="str"/>
      <x:c r="H23" s="108" t="str"/>
      <x:c r="I23" s="108" t="str">
        <x:v>user_input</x:v>
      </x:c>
      <x:c r="J23" s="108" t="str">
        <x:v>pending</x:v>
      </x:c>
      <x:c r="K23" s="108" t="str"/>
      <x:c r="L23" s="108" t="str"/>
      <x:c r="M23" s="108" t="str">
        <x:v>yes</x:v>
      </x:c>
      <x:c r="N23" s="108" t="str"/>
    </x:row>
    <x:row r="24" ht="34" customHeight="1">
      <x:c r="A24" s="108" t="str">
        <x:v>REQ-0022</x:v>
      </x:c>
      <x:c r="B24" s="108" t="str">
        <x:v>APP-004</x:v>
      </x:c>
      <x:c r="C24" s="108" t="str">
        <x:v>PLUM</x:v>
      </x:c>
      <x:c r="D24" s="108" t="str">
        <x:v>drain_required</x:v>
      </x:c>
      <x:c r="E24" s="108" t="str">
        <x:v>model_dependent</x:v>
      </x:c>
      <x:c r="F24" s="108" t="str"/>
      <x:c r="G24" s="108" t="str"/>
      <x:c r="H24" s="108" t="str"/>
      <x:c r="I24" s="108" t="str">
        <x:v>user_input</x:v>
      </x:c>
      <x:c r="J24" s="108" t="str">
        <x:v>pending</x:v>
      </x:c>
      <x:c r="K24" s="108" t="str"/>
      <x:c r="L24" s="108" t="str"/>
      <x:c r="M24" s="108" t="str">
        <x:v>yes</x:v>
      </x:c>
      <x:c r="N24" s="108" t="str"/>
    </x:row>
    <x:row r="25" ht="34" customHeight="1">
      <x:c r="A25" s="108" t="str">
        <x:v>REQ-0023</x:v>
      </x:c>
      <x:c r="B25" s="108" t="str">
        <x:v>APP-004</x:v>
      </x:c>
      <x:c r="C25" s="108" t="str">
        <x:v>GAS</x:v>
      </x:c>
      <x:c r="D25" s="108" t="str">
        <x:v>gas_required</x:v>
      </x:c>
      <x:c r="E25" s="108" t="str">
        <x:v>no</x:v>
      </x:c>
      <x:c r="F25" s="108" t="str"/>
      <x:c r="G25" s="108" t="str"/>
      <x:c r="H25" s="108" t="str"/>
      <x:c r="I25" s="108" t="str">
        <x:v>user_input</x:v>
      </x:c>
      <x:c r="J25" s="108" t="str">
        <x:v>confirmed</x:v>
      </x:c>
      <x:c r="K25" s="108" t="str"/>
      <x:c r="L25" s="108" t="str"/>
      <x:c r="M25" s="108" t="str">
        <x:v>no</x:v>
      </x:c>
      <x:c r="N25" s="108" t="str"/>
    </x:row>
    <x:row r="26" ht="34" customHeight="1">
      <x:c r="A26" s="108" t="str">
        <x:v>REQ-0024</x:v>
      </x:c>
      <x:c r="B26" s="108" t="str">
        <x:v>APP-004</x:v>
      </x:c>
      <x:c r="C26" s="108" t="str">
        <x:v>HVAC</x:v>
      </x:c>
      <x:c r="D26" s="108" t="str">
        <x:v>ventilation_required</x:v>
      </x:c>
      <x:c r="E26" s="108" t="str">
        <x:v>no</x:v>
      </x:c>
      <x:c r="F26" s="108" t="str"/>
      <x:c r="G26" s="108" t="str"/>
      <x:c r="H26" s="108" t="str"/>
      <x:c r="I26" s="108" t="str">
        <x:v>user_input</x:v>
      </x:c>
      <x:c r="J26" s="108" t="str">
        <x:v>confirmed</x:v>
      </x:c>
      <x:c r="K26" s="108" t="str"/>
      <x:c r="L26" s="108" t="str"/>
      <x:c r="M26" s="108" t="str">
        <x:v>no</x:v>
      </x:c>
      <x:c r="N26" s="108" t="str"/>
    </x:row>
    <x:row r="27" ht="34" customHeight="1">
      <x:c r="A27" s="108" t="str">
        <x:v>REQ-0025</x:v>
      </x:c>
      <x:c r="B27" s="108" t="str">
        <x:v>APP-005</x:v>
      </x:c>
      <x:c r="C27" s="108" t="str">
        <x:v>ELEC</x:v>
      </x:c>
      <x:c r="D27" s="108" t="str">
        <x:v>rated_power</x:v>
      </x:c>
      <x:c r="E27" s="108" t="str"/>
      <x:c r="F27" s="108" t="str"/>
      <x:c r="G27" s="108" t="str">
        <x:v>W</x:v>
      </x:c>
      <x:c r="H27" s="108" t="str"/>
      <x:c r="I27" s="108" t="str">
        <x:v>user_input</x:v>
      </x:c>
      <x:c r="J27" s="108" t="str">
        <x:v>pending</x:v>
      </x:c>
      <x:c r="K27" s="108" t="str"/>
      <x:c r="L27" s="108" t="str"/>
      <x:c r="M27" s="108" t="str">
        <x:v>yes</x:v>
      </x:c>
      <x:c r="N27" s="108" t="str"/>
    </x:row>
    <x:row r="28" ht="34" customHeight="1">
      <x:c r="A28" s="108" t="str">
        <x:v>REQ-0026</x:v>
      </x:c>
      <x:c r="B28" s="108" t="str">
        <x:v>APP-005</x:v>
      </x:c>
      <x:c r="C28" s="108" t="str">
        <x:v>ELEC</x:v>
      </x:c>
      <x:c r="D28" s="108" t="str">
        <x:v>simultaneous_group</x:v>
      </x:c>
      <x:c r="E28" s="108" t="str">
        <x:v>NS02-A</x:v>
      </x:c>
      <x:c r="F28" s="108" t="str"/>
      <x:c r="G28" s="108" t="str"/>
      <x:c r="H28" s="108" t="str"/>
      <x:c r="I28" s="108" t="str">
        <x:v>user_input</x:v>
      </x:c>
      <x:c r="J28" s="108" t="str">
        <x:v>confirmed</x:v>
      </x:c>
      <x:c r="K28" s="108" t="str"/>
      <x:c r="L28" s="108" t="str"/>
      <x:c r="M28" s="108" t="str">
        <x:v>no</x:v>
      </x:c>
      <x:c r="N28" s="108" t="str"/>
    </x:row>
    <x:row r="29" ht="34" customHeight="1">
      <x:c r="A29" s="108" t="str">
        <x:v>REQ-0027</x:v>
      </x:c>
      <x:c r="B29" s="108" t="str">
        <x:v>APP-005</x:v>
      </x:c>
      <x:c r="C29" s="108" t="str">
        <x:v>PLUM</x:v>
      </x:c>
      <x:c r="D29" s="108" t="str">
        <x:v>water_required</x:v>
      </x:c>
      <x:c r="E29" s="108" t="str">
        <x:v>no</x:v>
      </x:c>
      <x:c r="F29" s="108" t="str"/>
      <x:c r="G29" s="108" t="str"/>
      <x:c r="H29" s="108" t="str"/>
      <x:c r="I29" s="108" t="str">
        <x:v>user_input</x:v>
      </x:c>
      <x:c r="J29" s="108" t="str">
        <x:v>confirmed</x:v>
      </x:c>
      <x:c r="K29" s="108" t="str"/>
      <x:c r="L29" s="108" t="str"/>
      <x:c r="M29" s="108" t="str">
        <x:v>no</x:v>
      </x:c>
      <x:c r="N29" s="108" t="str"/>
    </x:row>
    <x:row r="30" ht="34" customHeight="1">
      <x:c r="A30" s="108" t="str">
        <x:v>REQ-0028</x:v>
      </x:c>
      <x:c r="B30" s="108" t="str">
        <x:v>APP-005</x:v>
      </x:c>
      <x:c r="C30" s="108" t="str">
        <x:v>PLUM</x:v>
      </x:c>
      <x:c r="D30" s="108" t="str">
        <x:v>drain_required</x:v>
      </x:c>
      <x:c r="E30" s="108" t="str">
        <x:v>no</x:v>
      </x:c>
      <x:c r="F30" s="108" t="str"/>
      <x:c r="G30" s="108" t="str"/>
      <x:c r="H30" s="108" t="str"/>
      <x:c r="I30" s="108" t="str">
        <x:v>user_input</x:v>
      </x:c>
      <x:c r="J30" s="108" t="str">
        <x:v>confirmed</x:v>
      </x:c>
      <x:c r="K30" s="108" t="str"/>
      <x:c r="L30" s="108" t="str"/>
      <x:c r="M30" s="108" t="str">
        <x:v>no</x:v>
      </x:c>
      <x:c r="N30" s="108" t="str"/>
    </x:row>
    <x:row r="31" ht="34" customHeight="1">
      <x:c r="A31" s="108" t="str">
        <x:v>REQ-0029</x:v>
      </x:c>
      <x:c r="B31" s="108" t="str">
        <x:v>APP-005</x:v>
      </x:c>
      <x:c r="C31" s="108" t="str">
        <x:v>GAS</x:v>
      </x:c>
      <x:c r="D31" s="108" t="str">
        <x:v>gas_required</x:v>
      </x:c>
      <x:c r="E31" s="108" t="str">
        <x:v>no</x:v>
      </x:c>
      <x:c r="F31" s="108" t="str"/>
      <x:c r="G31" s="108" t="str"/>
      <x:c r="H31" s="108" t="str"/>
      <x:c r="I31" s="108" t="str">
        <x:v>user_input</x:v>
      </x:c>
      <x:c r="J31" s="108" t="str">
        <x:v>confirmed</x:v>
      </x:c>
      <x:c r="K31" s="108" t="str"/>
      <x:c r="L31" s="108" t="str"/>
      <x:c r="M31" s="108" t="str">
        <x:v>no</x:v>
      </x:c>
      <x:c r="N31" s="108" t="str"/>
    </x:row>
    <x:row r="32" ht="34" customHeight="1">
      <x:c r="A32" s="108" t="str">
        <x:v>REQ-0030</x:v>
      </x:c>
      <x:c r="B32" s="108" t="str">
        <x:v>APP-005</x:v>
      </x:c>
      <x:c r="C32" s="108" t="str">
        <x:v>HVAC</x:v>
      </x:c>
      <x:c r="D32" s="108" t="str">
        <x:v>ventilation_required</x:v>
      </x:c>
      <x:c r="E32" s="108" t="str">
        <x:v>no</x:v>
      </x:c>
      <x:c r="F32" s="108" t="str"/>
      <x:c r="G32" s="108" t="str"/>
      <x:c r="H32" s="108" t="str"/>
      <x:c r="I32" s="108" t="str">
        <x:v>user_input</x:v>
      </x:c>
      <x:c r="J32" s="108" t="str">
        <x:v>confirmed</x:v>
      </x:c>
      <x:c r="K32" s="108" t="str"/>
      <x:c r="L32" s="108" t="str"/>
      <x:c r="M32" s="108" t="str">
        <x:v>no</x:v>
      </x:c>
      <x:c r="N32" s="108" t="str"/>
    </x:row>
    <x:row r="33" ht="34" customHeight="1">
      <x:c r="A33" s="108" t="str">
        <x:v>REQ-0031</x:v>
      </x:c>
      <x:c r="B33" s="108" t="str">
        <x:v>APP-006</x:v>
      </x:c>
      <x:c r="C33" s="108" t="str">
        <x:v>ELEC</x:v>
      </x:c>
      <x:c r="D33" s="108" t="str">
        <x:v>rated_power</x:v>
      </x:c>
      <x:c r="E33" s="108" t="str"/>
      <x:c r="F33" s="108" t="str"/>
      <x:c r="G33" s="108" t="str">
        <x:v>W</x:v>
      </x:c>
      <x:c r="H33" s="108" t="str"/>
      <x:c r="I33" s="108" t="str">
        <x:v>user_input</x:v>
      </x:c>
      <x:c r="J33" s="108" t="str">
        <x:v>pending</x:v>
      </x:c>
      <x:c r="K33" s="108" t="str"/>
      <x:c r="L33" s="108" t="str"/>
      <x:c r="M33" s="108" t="str">
        <x:v>yes</x:v>
      </x:c>
      <x:c r="N33" s="108" t="str"/>
    </x:row>
    <x:row r="34" ht="34" customHeight="1">
      <x:c r="A34" s="108" t="str">
        <x:v>REQ-0032</x:v>
      </x:c>
      <x:c r="B34" s="108" t="str">
        <x:v>APP-006</x:v>
      </x:c>
      <x:c r="C34" s="108" t="str">
        <x:v>ELEC</x:v>
      </x:c>
      <x:c r="D34" s="108" t="str">
        <x:v>simultaneous_group</x:v>
      </x:c>
      <x:c r="E34" s="108" t="str">
        <x:v>NS02-B</x:v>
      </x:c>
      <x:c r="F34" s="108" t="str"/>
      <x:c r="G34" s="108" t="str"/>
      <x:c r="H34" s="108" t="str"/>
      <x:c r="I34" s="108" t="str">
        <x:v>user_input</x:v>
      </x:c>
      <x:c r="J34" s="108" t="str">
        <x:v>confirmed</x:v>
      </x:c>
      <x:c r="K34" s="108" t="str"/>
      <x:c r="L34" s="108" t="str"/>
      <x:c r="M34" s="108" t="str">
        <x:v>no</x:v>
      </x:c>
      <x:c r="N34" s="108" t="str"/>
    </x:row>
    <x:row r="35" ht="34" customHeight="1">
      <x:c r="A35" s="108" t="str">
        <x:v>REQ-0033</x:v>
      </x:c>
      <x:c r="B35" s="108" t="str">
        <x:v>APP-006</x:v>
      </x:c>
      <x:c r="C35" s="108" t="str">
        <x:v>PLUM</x:v>
      </x:c>
      <x:c r="D35" s="108" t="str">
        <x:v>water_required</x:v>
      </x:c>
      <x:c r="E35" s="108" t="str">
        <x:v>no</x:v>
      </x:c>
      <x:c r="F35" s="108" t="str"/>
      <x:c r="G35" s="108" t="str"/>
      <x:c r="H35" s="108" t="str"/>
      <x:c r="I35" s="108" t="str">
        <x:v>user_input</x:v>
      </x:c>
      <x:c r="J35" s="108" t="str">
        <x:v>confirmed</x:v>
      </x:c>
      <x:c r="K35" s="108" t="str"/>
      <x:c r="L35" s="108" t="str"/>
      <x:c r="M35" s="108" t="str">
        <x:v>no</x:v>
      </x:c>
      <x:c r="N35" s="108" t="str"/>
    </x:row>
    <x:row r="36" ht="34" customHeight="1">
      <x:c r="A36" s="108" t="str">
        <x:v>REQ-0034</x:v>
      </x:c>
      <x:c r="B36" s="108" t="str">
        <x:v>APP-006</x:v>
      </x:c>
      <x:c r="C36" s="108" t="str">
        <x:v>PLUM</x:v>
      </x:c>
      <x:c r="D36" s="108" t="str">
        <x:v>drain_required</x:v>
      </x:c>
      <x:c r="E36" s="108" t="str">
        <x:v>no</x:v>
      </x:c>
      <x:c r="F36" s="108" t="str"/>
      <x:c r="G36" s="108" t="str"/>
      <x:c r="H36" s="108" t="str"/>
      <x:c r="I36" s="108" t="str">
        <x:v>user_input</x:v>
      </x:c>
      <x:c r="J36" s="108" t="str">
        <x:v>confirmed</x:v>
      </x:c>
      <x:c r="K36" s="108" t="str"/>
      <x:c r="L36" s="108" t="str"/>
      <x:c r="M36" s="108" t="str">
        <x:v>no</x:v>
      </x:c>
      <x:c r="N36" s="108" t="str"/>
    </x:row>
    <x:row r="37" ht="34" customHeight="1">
      <x:c r="A37" s="108" t="str">
        <x:v>REQ-0035</x:v>
      </x:c>
      <x:c r="B37" s="108" t="str">
        <x:v>APP-006</x:v>
      </x:c>
      <x:c r="C37" s="108" t="str">
        <x:v>GAS</x:v>
      </x:c>
      <x:c r="D37" s="108" t="str">
        <x:v>gas_required</x:v>
      </x:c>
      <x:c r="E37" s="108" t="str">
        <x:v>no</x:v>
      </x:c>
      <x:c r="F37" s="108" t="str"/>
      <x:c r="G37" s="108" t="str"/>
      <x:c r="H37" s="108" t="str"/>
      <x:c r="I37" s="108" t="str">
        <x:v>user_input</x:v>
      </x:c>
      <x:c r="J37" s="108" t="str">
        <x:v>confirmed</x:v>
      </x:c>
      <x:c r="K37" s="108" t="str"/>
      <x:c r="L37" s="108" t="str"/>
      <x:c r="M37" s="108" t="str">
        <x:v>no</x:v>
      </x:c>
      <x:c r="N37" s="108" t="str"/>
    </x:row>
    <x:row r="38" ht="34" customHeight="1">
      <x:c r="A38" s="108" t="str">
        <x:v>REQ-0036</x:v>
      </x:c>
      <x:c r="B38" s="108" t="str">
        <x:v>APP-006</x:v>
      </x:c>
      <x:c r="C38" s="108" t="str">
        <x:v>HVAC</x:v>
      </x:c>
      <x:c r="D38" s="108" t="str">
        <x:v>ventilation_required</x:v>
      </x:c>
      <x:c r="E38" s="108" t="str">
        <x:v>no</x:v>
      </x:c>
      <x:c r="F38" s="108" t="str"/>
      <x:c r="G38" s="108" t="str"/>
      <x:c r="H38" s="108" t="str"/>
      <x:c r="I38" s="108" t="str">
        <x:v>user_input</x:v>
      </x:c>
      <x:c r="J38" s="108" t="str">
        <x:v>confirmed</x:v>
      </x:c>
      <x:c r="K38" s="108" t="str"/>
      <x:c r="L38" s="108" t="str"/>
      <x:c r="M38" s="108" t="str">
        <x:v>no</x:v>
      </x:c>
      <x:c r="N38" s="108" t="str"/>
    </x:row>
    <x:row r="39" ht="34" customHeight="1">
      <x:c r="A39" s="108" t="str">
        <x:v>REQ-0037</x:v>
      </x:c>
      <x:c r="B39" s="108" t="str">
        <x:v>APP-007</x:v>
      </x:c>
      <x:c r="C39" s="108" t="str">
        <x:v>ELEC</x:v>
      </x:c>
      <x:c r="D39" s="108" t="str">
        <x:v>rated_power</x:v>
      </x:c>
      <x:c r="E39" s="108" t="str"/>
      <x:c r="F39" s="108" t="str"/>
      <x:c r="G39" s="108" t="str">
        <x:v>W</x:v>
      </x:c>
      <x:c r="H39" s="108" t="str"/>
      <x:c r="I39" s="108" t="str">
        <x:v>user_input</x:v>
      </x:c>
      <x:c r="J39" s="108" t="str">
        <x:v>pending</x:v>
      </x:c>
      <x:c r="K39" s="108" t="str"/>
      <x:c r="L39" s="108" t="str"/>
      <x:c r="M39" s="108" t="str">
        <x:v>yes</x:v>
      </x:c>
      <x:c r="N39" s="108" t="str"/>
    </x:row>
    <x:row r="40" ht="34" customHeight="1">
      <x:c r="A40" s="108" t="str">
        <x:v>REQ-0038</x:v>
      </x:c>
      <x:c r="B40" s="108" t="str">
        <x:v>APP-007</x:v>
      </x:c>
      <x:c r="C40" s="108" t="str">
        <x:v>ELEC</x:v>
      </x:c>
      <x:c r="D40" s="108" t="str">
        <x:v>simultaneous_group</x:v>
      </x:c>
      <x:c r="E40" s="108" t="str">
        <x:v>CONTINUOUS</x:v>
      </x:c>
      <x:c r="F40" s="108" t="str"/>
      <x:c r="G40" s="108" t="str"/>
      <x:c r="H40" s="108" t="str"/>
      <x:c r="I40" s="108" t="str">
        <x:v>user_input</x:v>
      </x:c>
      <x:c r="J40" s="108" t="str">
        <x:v>confirmed</x:v>
      </x:c>
      <x:c r="K40" s="108" t="str"/>
      <x:c r="L40" s="108" t="str"/>
      <x:c r="M40" s="108" t="str">
        <x:v>no</x:v>
      </x:c>
      <x:c r="N40" s="108" t="str"/>
    </x:row>
    <x:row r="41" ht="34" customHeight="1">
      <x:c r="A41" s="108" t="str">
        <x:v>REQ-0039</x:v>
      </x:c>
      <x:c r="B41" s="108" t="str">
        <x:v>APP-007</x:v>
      </x:c>
      <x:c r="C41" s="108" t="str">
        <x:v>PLUM</x:v>
      </x:c>
      <x:c r="D41" s="108" t="str">
        <x:v>water_required</x:v>
      </x:c>
      <x:c r="E41" s="108" t="str">
        <x:v>no</x:v>
      </x:c>
      <x:c r="F41" s="108" t="str"/>
      <x:c r="G41" s="108" t="str"/>
      <x:c r="H41" s="108" t="str"/>
      <x:c r="I41" s="108" t="str">
        <x:v>user_input</x:v>
      </x:c>
      <x:c r="J41" s="108" t="str">
        <x:v>confirmed</x:v>
      </x:c>
      <x:c r="K41" s="108" t="str"/>
      <x:c r="L41" s="108" t="str"/>
      <x:c r="M41" s="108" t="str">
        <x:v>no</x:v>
      </x:c>
      <x:c r="N41" s="108" t="str"/>
    </x:row>
    <x:row r="42" ht="34" customHeight="1">
      <x:c r="A42" s="108" t="str">
        <x:v>REQ-0040</x:v>
      </x:c>
      <x:c r="B42" s="108" t="str">
        <x:v>APP-007</x:v>
      </x:c>
      <x:c r="C42" s="108" t="str">
        <x:v>PLUM</x:v>
      </x:c>
      <x:c r="D42" s="108" t="str">
        <x:v>drain_required</x:v>
      </x:c>
      <x:c r="E42" s="108" t="str">
        <x:v>no</x:v>
      </x:c>
      <x:c r="F42" s="108" t="str"/>
      <x:c r="G42" s="108" t="str"/>
      <x:c r="H42" s="108" t="str"/>
      <x:c r="I42" s="108" t="str">
        <x:v>user_input</x:v>
      </x:c>
      <x:c r="J42" s="108" t="str">
        <x:v>confirmed</x:v>
      </x:c>
      <x:c r="K42" s="108" t="str"/>
      <x:c r="L42" s="108" t="str"/>
      <x:c r="M42" s="108" t="str">
        <x:v>no</x:v>
      </x:c>
      <x:c r="N42" s="108" t="str"/>
    </x:row>
    <x:row r="43" ht="34" customHeight="1">
      <x:c r="A43" s="108" t="str">
        <x:v>REQ-0041</x:v>
      </x:c>
      <x:c r="B43" s="108" t="str">
        <x:v>APP-007</x:v>
      </x:c>
      <x:c r="C43" s="108" t="str">
        <x:v>GAS</x:v>
      </x:c>
      <x:c r="D43" s="108" t="str">
        <x:v>gas_required</x:v>
      </x:c>
      <x:c r="E43" s="108" t="str">
        <x:v>no</x:v>
      </x:c>
      <x:c r="F43" s="108" t="str"/>
      <x:c r="G43" s="108" t="str"/>
      <x:c r="H43" s="108" t="str"/>
      <x:c r="I43" s="108" t="str">
        <x:v>user_input</x:v>
      </x:c>
      <x:c r="J43" s="108" t="str">
        <x:v>confirmed</x:v>
      </x:c>
      <x:c r="K43" s="108" t="str"/>
      <x:c r="L43" s="108" t="str"/>
      <x:c r="M43" s="108" t="str">
        <x:v>no</x:v>
      </x:c>
      <x:c r="N43" s="108" t="str"/>
    </x:row>
    <x:row r="44" ht="34" customHeight="1">
      <x:c r="A44" s="108" t="str">
        <x:v>REQ-0042</x:v>
      </x:c>
      <x:c r="B44" s="108" t="str">
        <x:v>APP-007</x:v>
      </x:c>
      <x:c r="C44" s="108" t="str">
        <x:v>HVAC</x:v>
      </x:c>
      <x:c r="D44" s="108" t="str">
        <x:v>ventilation_required</x:v>
      </x:c>
      <x:c r="E44" s="108" t="str">
        <x:v>yes</x:v>
      </x:c>
      <x:c r="F44" s="108" t="str"/>
      <x:c r="G44" s="108" t="str"/>
      <x:c r="H44" s="108" t="str"/>
      <x:c r="I44" s="108" t="str">
        <x:v>user_input</x:v>
      </x:c>
      <x:c r="J44" s="108" t="str">
        <x:v>confirmed</x:v>
      </x:c>
      <x:c r="K44" s="108" t="str"/>
      <x:c r="L44" s="108" t="str"/>
      <x:c r="M44" s="108" t="str">
        <x:v>no</x:v>
      </x:c>
      <x:c r="N44" s="108" t="str"/>
    </x:row>
    <x:row r="45" ht="34" customHeight="1">
      <x:c r="A45" s="108" t="str">
        <x:v>REQ-0043</x:v>
      </x:c>
      <x:c r="B45" s="108" t="str">
        <x:v>APP-008</x:v>
      </x:c>
      <x:c r="C45" s="108" t="str">
        <x:v>ELEC</x:v>
      </x:c>
      <x:c r="D45" s="108" t="str">
        <x:v>rated_power</x:v>
      </x:c>
      <x:c r="E45" s="108" t="str"/>
      <x:c r="F45" s="108" t="str"/>
      <x:c r="G45" s="108" t="str">
        <x:v>W</x:v>
      </x:c>
      <x:c r="H45" s="108" t="str"/>
      <x:c r="I45" s="108" t="str">
        <x:v>user_input</x:v>
      </x:c>
      <x:c r="J45" s="108" t="str">
        <x:v>pending</x:v>
      </x:c>
      <x:c r="K45" s="108" t="str"/>
      <x:c r="L45" s="108" t="str"/>
      <x:c r="M45" s="108" t="str">
        <x:v>yes</x:v>
      </x:c>
      <x:c r="N45" s="108" t="str"/>
    </x:row>
    <x:row r="46" ht="34" customHeight="1">
      <x:c r="A46" s="108" t="str">
        <x:v>REQ-0044</x:v>
      </x:c>
      <x:c r="B46" s="108" t="str">
        <x:v>APP-008</x:v>
      </x:c>
      <x:c r="C46" s="108" t="str">
        <x:v>ELEC</x:v>
      </x:c>
      <x:c r="D46" s="108" t="str">
        <x:v>simultaneous_group</x:v>
      </x:c>
      <x:c r="E46" s="108" t="str">
        <x:v>CONTINUOUS</x:v>
      </x:c>
      <x:c r="F46" s="108" t="str"/>
      <x:c r="G46" s="108" t="str"/>
      <x:c r="H46" s="108" t="str"/>
      <x:c r="I46" s="108" t="str">
        <x:v>user_input</x:v>
      </x:c>
      <x:c r="J46" s="108" t="str">
        <x:v>confirmed</x:v>
      </x:c>
      <x:c r="K46" s="108" t="str"/>
      <x:c r="L46" s="108" t="str"/>
      <x:c r="M46" s="108" t="str">
        <x:v>no</x:v>
      </x:c>
      <x:c r="N46" s="108" t="str"/>
    </x:row>
    <x:row r="47" ht="34" customHeight="1">
      <x:c r="A47" s="108" t="str">
        <x:v>REQ-0045</x:v>
      </x:c>
      <x:c r="B47" s="108" t="str">
        <x:v>APP-008</x:v>
      </x:c>
      <x:c r="C47" s="108" t="str">
        <x:v>PLUM</x:v>
      </x:c>
      <x:c r="D47" s="108" t="str">
        <x:v>water_required</x:v>
      </x:c>
      <x:c r="E47" s="108" t="str">
        <x:v>no</x:v>
      </x:c>
      <x:c r="F47" s="108" t="str"/>
      <x:c r="G47" s="108" t="str"/>
      <x:c r="H47" s="108" t="str"/>
      <x:c r="I47" s="108" t="str">
        <x:v>user_input</x:v>
      </x:c>
      <x:c r="J47" s="108" t="str">
        <x:v>confirmed</x:v>
      </x:c>
      <x:c r="K47" s="108" t="str"/>
      <x:c r="L47" s="108" t="str"/>
      <x:c r="M47" s="108" t="str">
        <x:v>no</x:v>
      </x:c>
      <x:c r="N47" s="108" t="str"/>
    </x:row>
    <x:row r="48" ht="34" customHeight="1">
      <x:c r="A48" s="108" t="str">
        <x:v>REQ-0046</x:v>
      </x:c>
      <x:c r="B48" s="108" t="str">
        <x:v>APP-008</x:v>
      </x:c>
      <x:c r="C48" s="108" t="str">
        <x:v>PLUM</x:v>
      </x:c>
      <x:c r="D48" s="108" t="str">
        <x:v>drain_required</x:v>
      </x:c>
      <x:c r="E48" s="108" t="str">
        <x:v>no</x:v>
      </x:c>
      <x:c r="F48" s="108" t="str"/>
      <x:c r="G48" s="108" t="str"/>
      <x:c r="H48" s="108" t="str"/>
      <x:c r="I48" s="108" t="str">
        <x:v>user_input</x:v>
      </x:c>
      <x:c r="J48" s="108" t="str">
        <x:v>confirmed</x:v>
      </x:c>
      <x:c r="K48" s="108" t="str"/>
      <x:c r="L48" s="108" t="str"/>
      <x:c r="M48" s="108" t="str">
        <x:v>no</x:v>
      </x:c>
      <x:c r="N48" s="108" t="str"/>
    </x:row>
    <x:row r="49" ht="34" customHeight="1">
      <x:c r="A49" s="108" t="str">
        <x:v>REQ-0047</x:v>
      </x:c>
      <x:c r="B49" s="108" t="str">
        <x:v>APP-008</x:v>
      </x:c>
      <x:c r="C49" s="108" t="str">
        <x:v>GAS</x:v>
      </x:c>
      <x:c r="D49" s="108" t="str">
        <x:v>gas_required</x:v>
      </x:c>
      <x:c r="E49" s="108" t="str">
        <x:v>no</x:v>
      </x:c>
      <x:c r="F49" s="108" t="str"/>
      <x:c r="G49" s="108" t="str"/>
      <x:c r="H49" s="108" t="str"/>
      <x:c r="I49" s="108" t="str">
        <x:v>user_input</x:v>
      </x:c>
      <x:c r="J49" s="108" t="str">
        <x:v>confirmed</x:v>
      </x:c>
      <x:c r="K49" s="108" t="str"/>
      <x:c r="L49" s="108" t="str"/>
      <x:c r="M49" s="108" t="str">
        <x:v>no</x:v>
      </x:c>
      <x:c r="N49" s="108" t="str"/>
    </x:row>
    <x:row r="50" ht="34" customHeight="1">
      <x:c r="A50" s="108" t="str">
        <x:v>REQ-0048</x:v>
      </x:c>
      <x:c r="B50" s="108" t="str">
        <x:v>APP-008</x:v>
      </x:c>
      <x:c r="C50" s="108" t="str">
        <x:v>HVAC</x:v>
      </x:c>
      <x:c r="D50" s="108" t="str">
        <x:v>ventilation_required</x:v>
      </x:c>
      <x:c r="E50" s="108" t="str">
        <x:v>yes</x:v>
      </x:c>
      <x:c r="F50" s="108" t="str"/>
      <x:c r="G50" s="108" t="str"/>
      <x:c r="H50" s="108" t="str"/>
      <x:c r="I50" s="108" t="str">
        <x:v>user_input</x:v>
      </x:c>
      <x:c r="J50" s="108" t="str">
        <x:v>confirmed</x:v>
      </x:c>
      <x:c r="K50" s="108" t="str"/>
      <x:c r="L50" s="108" t="str"/>
      <x:c r="M50" s="108" t="str">
        <x:v>no</x:v>
      </x:c>
      <x:c r="N50" s="108" t="str"/>
    </x:row>
    <x:row r="51" ht="34" customHeight="1">
      <x:c r="A51" s="108" t="str">
        <x:v>REQ-0049</x:v>
      </x:c>
      <x:c r="B51" s="108" t="str">
        <x:v>APP-009</x:v>
      </x:c>
      <x:c r="C51" s="108" t="str">
        <x:v>ELEC</x:v>
      </x:c>
      <x:c r="D51" s="108" t="str">
        <x:v>rated_power</x:v>
      </x:c>
      <x:c r="E51" s="108" t="str"/>
      <x:c r="F51" s="108" t="str">
        <x:v>2000</x:v>
      </x:c>
      <x:c r="G51" s="108" t="str">
        <x:v>W</x:v>
      </x:c>
      <x:c r="H51" s="108" t="str"/>
      <x:c r="I51" s="108" t="str">
        <x:v>user_input</x:v>
      </x:c>
      <x:c r="J51" s="108" t="str">
        <x:v>confirmed</x:v>
      </x:c>
      <x:c r="K51" s="108" t="str"/>
      <x:c r="L51" s="108" t="str"/>
      <x:c r="M51" s="108" t="str">
        <x:v>no</x:v>
      </x:c>
      <x:c r="N51" s="108" t="str"/>
    </x:row>
    <x:row r="52" ht="34" customHeight="1">
      <x:c r="A52" s="108" t="str">
        <x:v>REQ-0050</x:v>
      </x:c>
      <x:c r="B52" s="108" t="str">
        <x:v>APP-009</x:v>
      </x:c>
      <x:c r="C52" s="108" t="str">
        <x:v>ELEC</x:v>
      </x:c>
      <x:c r="D52" s="108" t="str">
        <x:v>simultaneous_group</x:v>
      </x:c>
      <x:c r="E52" s="108" t="str">
        <x:v>DISHWASHER-A</x:v>
      </x:c>
      <x:c r="F52" s="108" t="str"/>
      <x:c r="G52" s="108" t="str"/>
      <x:c r="H52" s="108" t="str"/>
      <x:c r="I52" s="108" t="str">
        <x:v>user_input</x:v>
      </x:c>
      <x:c r="J52" s="108" t="str">
        <x:v>confirmed</x:v>
      </x:c>
      <x:c r="K52" s="108" t="str"/>
      <x:c r="L52" s="108" t="str"/>
      <x:c r="M52" s="108" t="str">
        <x:v>no</x:v>
      </x:c>
      <x:c r="N52" s="108" t="str"/>
    </x:row>
    <x:row r="53" ht="34" customHeight="1">
      <x:c r="A53" s="108" t="str">
        <x:v>REQ-0051</x:v>
      </x:c>
      <x:c r="B53" s="108" t="str">
        <x:v>APP-009</x:v>
      </x:c>
      <x:c r="C53" s="108" t="str">
        <x:v>PLUM</x:v>
      </x:c>
      <x:c r="D53" s="108" t="str">
        <x:v>water_required</x:v>
      </x:c>
      <x:c r="E53" s="108" t="str">
        <x:v>yes</x:v>
      </x:c>
      <x:c r="F53" s="108" t="str"/>
      <x:c r="G53" s="108" t="str"/>
      <x:c r="H53" s="108" t="str"/>
      <x:c r="I53" s="108" t="str">
        <x:v>user_input</x:v>
      </x:c>
      <x:c r="J53" s="108" t="str">
        <x:v>confirmed</x:v>
      </x:c>
      <x:c r="K53" s="108" t="str"/>
      <x:c r="L53" s="108" t="str"/>
      <x:c r="M53" s="108" t="str">
        <x:v>no</x:v>
      </x:c>
      <x:c r="N53" s="108" t="str"/>
    </x:row>
    <x:row r="54" ht="34" customHeight="1">
      <x:c r="A54" s="108" t="str">
        <x:v>REQ-0052</x:v>
      </x:c>
      <x:c r="B54" s="108" t="str">
        <x:v>APP-009</x:v>
      </x:c>
      <x:c r="C54" s="108" t="str">
        <x:v>PLUM</x:v>
      </x:c>
      <x:c r="D54" s="108" t="str">
        <x:v>drain_required</x:v>
      </x:c>
      <x:c r="E54" s="108" t="str">
        <x:v>yes</x:v>
      </x:c>
      <x:c r="F54" s="108" t="str"/>
      <x:c r="G54" s="108" t="str"/>
      <x:c r="H54" s="108" t="str"/>
      <x:c r="I54" s="108" t="str">
        <x:v>user_input</x:v>
      </x:c>
      <x:c r="J54" s="108" t="str">
        <x:v>confirmed</x:v>
      </x:c>
      <x:c r="K54" s="108" t="str"/>
      <x:c r="L54" s="108" t="str"/>
      <x:c r="M54" s="108" t="str">
        <x:v>no</x:v>
      </x:c>
      <x:c r="N54" s="108" t="str"/>
    </x:row>
    <x:row r="55" ht="34" customHeight="1">
      <x:c r="A55" s="108" t="str">
        <x:v>REQ-0053</x:v>
      </x:c>
      <x:c r="B55" s="108" t="str">
        <x:v>APP-009</x:v>
      </x:c>
      <x:c r="C55" s="108" t="str">
        <x:v>GAS</x:v>
      </x:c>
      <x:c r="D55" s="108" t="str">
        <x:v>gas_required</x:v>
      </x:c>
      <x:c r="E55" s="108" t="str">
        <x:v>no</x:v>
      </x:c>
      <x:c r="F55" s="108" t="str"/>
      <x:c r="G55" s="108" t="str"/>
      <x:c r="H55" s="108" t="str"/>
      <x:c r="I55" s="108" t="str">
        <x:v>user_input</x:v>
      </x:c>
      <x:c r="J55" s="108" t="str">
        <x:v>confirmed</x:v>
      </x:c>
      <x:c r="K55" s="108" t="str"/>
      <x:c r="L55" s="108" t="str"/>
      <x:c r="M55" s="108" t="str">
        <x:v>no</x:v>
      </x:c>
      <x:c r="N55" s="108" t="str"/>
    </x:row>
    <x:row r="56" ht="34" customHeight="1">
      <x:c r="A56" s="108" t="str">
        <x:v>REQ-0054</x:v>
      </x:c>
      <x:c r="B56" s="108" t="str">
        <x:v>APP-009</x:v>
      </x:c>
      <x:c r="C56" s="108" t="str">
        <x:v>HVAC</x:v>
      </x:c>
      <x:c r="D56" s="108" t="str">
        <x:v>ventilation_required</x:v>
      </x:c>
      <x:c r="E56" s="108" t="str">
        <x:v>no</x:v>
      </x:c>
      <x:c r="F56" s="108" t="str"/>
      <x:c r="G56" s="108" t="str"/>
      <x:c r="H56" s="108" t="str"/>
      <x:c r="I56" s="108" t="str">
        <x:v>user_input</x:v>
      </x:c>
      <x:c r="J56" s="108" t="str">
        <x:v>confirmed</x:v>
      </x:c>
      <x:c r="K56" s="108" t="str"/>
      <x:c r="L56" s="108" t="str"/>
      <x:c r="M56" s="108" t="str">
        <x:v>no</x:v>
      </x:c>
      <x:c r="N56" s="108" t="str"/>
    </x:row>
    <x:row r="57" ht="34" customHeight="1">
      <x:c r="A57" s="108" t="str">
        <x:v>REQ-0055</x:v>
      </x:c>
      <x:c r="B57" s="108" t="str">
        <x:v>APP-009</x:v>
      </x:c>
      <x:c r="C57" s="108" t="str">
        <x:v>MULTI</x:v>
      </x:c>
      <x:c r="D57" s="108" t="str">
        <x:v>rated_voltage</x:v>
      </x:c>
      <x:c r="E57" s="108" t="str"/>
      <x:c r="F57" s="108" t="str">
        <x:v>220</x:v>
      </x:c>
      <x:c r="G57" s="108" t="str">
        <x:v>V</x:v>
      </x:c>
      <x:c r="H57" s="108" t="str"/>
      <x:c r="I57" s="108" t="str">
        <x:v>official_exact_model</x:v>
      </x:c>
      <x:c r="J57" s="108" t="str">
        <x:v>confirmed</x:v>
      </x:c>
      <x:c r="K57" s="108" t="str">
        <x:v>APP-DW-SPEC-001</x:v>
      </x:c>
      <x:c r="L57" s="108" t="str"/>
      <x:c r="M57" s="108" t="str">
        <x:v>no</x:v>
      </x:c>
      <x:c r="N57" s="108" t="str"/>
    </x:row>
    <x:row r="58" ht="34" customHeight="1">
      <x:c r="A58" s="108" t="str">
        <x:v>REQ-0056</x:v>
      </x:c>
      <x:c r="B58" s="108" t="str">
        <x:v>APP-009</x:v>
      </x:c>
      <x:c r="C58" s="108" t="str">
        <x:v>MULTI</x:v>
      </x:c>
      <x:c r="D58" s="108" t="str">
        <x:v>rated_current</x:v>
      </x:c>
      <x:c r="E58" s="108" t="str"/>
      <x:c r="F58" s="108" t="str">
        <x:v>10</x:v>
      </x:c>
      <x:c r="G58" s="108" t="str">
        <x:v>A</x:v>
      </x:c>
      <x:c r="H58" s="108" t="str"/>
      <x:c r="I58" s="108" t="str">
        <x:v>official_exact_model</x:v>
      </x:c>
      <x:c r="J58" s="108" t="str">
        <x:v>confirmed</x:v>
      </x:c>
      <x:c r="K58" s="108" t="str">
        <x:v>APP-DW-SPEC-001</x:v>
      </x:c>
      <x:c r="L58" s="108" t="str"/>
      <x:c r="M58" s="108" t="str">
        <x:v>no</x:v>
      </x:c>
      <x:c r="N58" s="108" t="str"/>
    </x:row>
    <x:row r="59" ht="34" customHeight="1">
      <x:c r="A59" s="108" t="str">
        <x:v>REQ-0057</x:v>
      </x:c>
      <x:c r="B59" s="108" t="str">
        <x:v>APP-009</x:v>
      </x:c>
      <x:c r="C59" s="108" t="str">
        <x:v>MULTI</x:v>
      </x:c>
      <x:c r="D59" s="108" t="str">
        <x:v>product_height</x:v>
      </x:c>
      <x:c r="E59" s="108" t="str"/>
      <x:c r="F59" s="108" t="str">
        <x:v>775</x:v>
      </x:c>
      <x:c r="G59" s="108" t="str">
        <x:v>mm</x:v>
      </x:c>
      <x:c r="H59" s="108" t="str"/>
      <x:c r="I59" s="108" t="str">
        <x:v>official_exact_model</x:v>
      </x:c>
      <x:c r="J59" s="108" t="str">
        <x:v>confirmed</x:v>
      </x:c>
      <x:c r="K59" s="108" t="str">
        <x:v>APP-DW-SPEC-001</x:v>
      </x:c>
      <x:c r="L59" s="108" t="str"/>
      <x:c r="M59" s="108" t="str">
        <x:v>no</x:v>
      </x:c>
      <x:c r="N59" s="108" t="str"/>
    </x:row>
    <x:row r="60" ht="34" customHeight="1">
      <x:c r="A60" s="108" t="str">
        <x:v>REQ-0058</x:v>
      </x:c>
      <x:c r="B60" s="108" t="str">
        <x:v>APP-009</x:v>
      </x:c>
      <x:c r="C60" s="108" t="str">
        <x:v>MULTI</x:v>
      </x:c>
      <x:c r="D60" s="108" t="str">
        <x:v>product_width</x:v>
      </x:c>
      <x:c r="E60" s="108" t="str"/>
      <x:c r="F60" s="108" t="str">
        <x:v>598</x:v>
      </x:c>
      <x:c r="G60" s="108" t="str">
        <x:v>mm</x:v>
      </x:c>
      <x:c r="H60" s="108" t="str"/>
      <x:c r="I60" s="108" t="str">
        <x:v>official_exact_model</x:v>
      </x:c>
      <x:c r="J60" s="108" t="str">
        <x:v>confirmed</x:v>
      </x:c>
      <x:c r="K60" s="108" t="str">
        <x:v>APP-DW-SPEC-001</x:v>
      </x:c>
      <x:c r="L60" s="108" t="str"/>
      <x:c r="M60" s="108" t="str">
        <x:v>no</x:v>
      </x:c>
      <x:c r="N60" s="108" t="str"/>
    </x:row>
    <x:row r="61" ht="34" customHeight="1">
      <x:c r="A61" s="108" t="str">
        <x:v>REQ-0059</x:v>
      </x:c>
      <x:c r="B61" s="108" t="str">
        <x:v>APP-009</x:v>
      </x:c>
      <x:c r="C61" s="108" t="str">
        <x:v>MULTI</x:v>
      </x:c>
      <x:c r="D61" s="108" t="str">
        <x:v>product_depth</x:v>
      </x:c>
      <x:c r="E61" s="108" t="str"/>
      <x:c r="F61" s="108" t="str">
        <x:v>550</x:v>
      </x:c>
      <x:c r="G61" s="108" t="str">
        <x:v>mm</x:v>
      </x:c>
      <x:c r="H61" s="108" t="str"/>
      <x:c r="I61" s="108" t="str">
        <x:v>official_exact_model</x:v>
      </x:c>
      <x:c r="J61" s="108" t="str">
        <x:v>confirmed</x:v>
      </x:c>
      <x:c r="K61" s="108" t="str">
        <x:v>APP-DW-SPEC-001</x:v>
      </x:c>
      <x:c r="L61" s="108" t="str"/>
      <x:c r="M61" s="108" t="str">
        <x:v>no</x:v>
      </x:c>
      <x:c r="N61" s="108" t="str"/>
    </x:row>
    <x:row r="62" ht="34" customHeight="1">
      <x:c r="A62" s="108" t="str">
        <x:v>REQ-0060</x:v>
      </x:c>
      <x:c r="B62" s="108" t="str">
        <x:v>APP-009</x:v>
      </x:c>
      <x:c r="C62" s="108" t="str">
        <x:v>MULTI</x:v>
      </x:c>
      <x:c r="D62" s="108" t="str">
        <x:v>niche_height_min</x:v>
      </x:c>
      <x:c r="E62" s="108" t="str"/>
      <x:c r="F62" s="108" t="str">
        <x:v>780</x:v>
      </x:c>
      <x:c r="G62" s="108" t="str">
        <x:v>mm</x:v>
      </x:c>
      <x:c r="H62" s="108" t="str"/>
      <x:c r="I62" s="108" t="str">
        <x:v>official_exact_model</x:v>
      </x:c>
      <x:c r="J62" s="108" t="str">
        <x:v>confirmed</x:v>
      </x:c>
      <x:c r="K62" s="108" t="str">
        <x:v>APP-DW-INSTALL-001</x:v>
      </x:c>
      <x:c r="L62" s="108" t="str"/>
      <x:c r="M62" s="108" t="str">
        <x:v>no</x:v>
      </x:c>
      <x:c r="N62" s="108" t="str"/>
    </x:row>
    <x:row r="63" ht="34" customHeight="1">
      <x:c r="A63" s="108" t="str">
        <x:v>REQ-0061</x:v>
      </x:c>
      <x:c r="B63" s="108" t="str">
        <x:v>APP-009</x:v>
      </x:c>
      <x:c r="C63" s="108" t="str">
        <x:v>MULTI</x:v>
      </x:c>
      <x:c r="D63" s="108" t="str">
        <x:v>niche_height_max</x:v>
      </x:c>
      <x:c r="E63" s="108" t="str"/>
      <x:c r="F63" s="108" t="str">
        <x:v>835</x:v>
      </x:c>
      <x:c r="G63" s="108" t="str">
        <x:v>mm</x:v>
      </x:c>
      <x:c r="H63" s="108" t="str"/>
      <x:c r="I63" s="108" t="str">
        <x:v>official_exact_model</x:v>
      </x:c>
      <x:c r="J63" s="108" t="str">
        <x:v>confirmed</x:v>
      </x:c>
      <x:c r="K63" s="108" t="str">
        <x:v>APP-DW-INSTALL-001</x:v>
      </x:c>
      <x:c r="L63" s="108" t="str"/>
      <x:c r="M63" s="108" t="str">
        <x:v>no</x:v>
      </x:c>
      <x:c r="N63" s="108" t="str"/>
    </x:row>
    <x:row r="64" ht="34" customHeight="1">
      <x:c r="A64" s="108" t="str">
        <x:v>REQ-0062</x:v>
      </x:c>
      <x:c r="B64" s="108" t="str">
        <x:v>APP-009</x:v>
      </x:c>
      <x:c r="C64" s="108" t="str">
        <x:v>MULTI</x:v>
      </x:c>
      <x:c r="D64" s="108" t="str">
        <x:v>niche_width_min</x:v>
      </x:c>
      <x:c r="E64" s="108" t="str"/>
      <x:c r="F64" s="108" t="str">
        <x:v>600</x:v>
      </x:c>
      <x:c r="G64" s="108" t="str">
        <x:v>mm</x:v>
      </x:c>
      <x:c r="H64" s="108" t="str"/>
      <x:c r="I64" s="108" t="str">
        <x:v>official_exact_model</x:v>
      </x:c>
      <x:c r="J64" s="108" t="str">
        <x:v>confirmed</x:v>
      </x:c>
      <x:c r="K64" s="108" t="str">
        <x:v>APP-DW-INSTALL-001</x:v>
      </x:c>
      <x:c r="L64" s="108" t="str"/>
      <x:c r="M64" s="108" t="str">
        <x:v>no</x:v>
      </x:c>
      <x:c r="N64" s="108" t="str"/>
    </x:row>
    <x:row r="65" ht="34" customHeight="1">
      <x:c r="A65" s="108" t="str">
        <x:v>REQ-0063</x:v>
      </x:c>
      <x:c r="B65" s="108" t="str">
        <x:v>APP-009</x:v>
      </x:c>
      <x:c r="C65" s="108" t="str">
        <x:v>MULTI</x:v>
      </x:c>
      <x:c r="D65" s="108" t="str">
        <x:v>niche_width_max</x:v>
      </x:c>
      <x:c r="E65" s="108" t="str"/>
      <x:c r="F65" s="108" t="str">
        <x:v>608</x:v>
      </x:c>
      <x:c r="G65" s="108" t="str">
        <x:v>mm</x:v>
      </x:c>
      <x:c r="H65" s="108" t="str"/>
      <x:c r="I65" s="108" t="str">
        <x:v>official_exact_model</x:v>
      </x:c>
      <x:c r="J65" s="108" t="str">
        <x:v>confirmed</x:v>
      </x:c>
      <x:c r="K65" s="108" t="str">
        <x:v>APP-DW-INSTALL-001</x:v>
      </x:c>
      <x:c r="L65" s="108" t="str"/>
      <x:c r="M65" s="108" t="str">
        <x:v>no</x:v>
      </x:c>
      <x:c r="N65" s="108" t="str"/>
    </x:row>
    <x:row r="66" ht="34" customHeight="1">
      <x:c r="A66" s="108" t="str">
        <x:v>REQ-0064</x:v>
      </x:c>
      <x:c r="B66" s="108" t="str">
        <x:v>APP-009</x:v>
      </x:c>
      <x:c r="C66" s="108" t="str">
        <x:v>MULTI</x:v>
      </x:c>
      <x:c r="D66" s="108" t="str">
        <x:v>niche_depth_min</x:v>
      </x:c>
      <x:c r="E66" s="108" t="str"/>
      <x:c r="F66" s="108" t="str">
        <x:v>550</x:v>
      </x:c>
      <x:c r="G66" s="108" t="str">
        <x:v>mm</x:v>
      </x:c>
      <x:c r="H66" s="108" t="str"/>
      <x:c r="I66" s="108" t="str">
        <x:v>official_exact_model</x:v>
      </x:c>
      <x:c r="J66" s="108" t="str">
        <x:v>confirmed</x:v>
      </x:c>
      <x:c r="K66" s="108" t="str">
        <x:v>APP-DW-INSTALL-001</x:v>
      </x:c>
      <x:c r="L66" s="108" t="str"/>
      <x:c r="M66" s="108" t="str">
        <x:v>no</x:v>
      </x:c>
      <x:c r="N66" s="108" t="str"/>
    </x:row>
    <x:row r="67" ht="34" customHeight="1">
      <x:c r="A67" s="108" t="str">
        <x:v>REQ-0065</x:v>
      </x:c>
      <x:c r="B67" s="108" t="str">
        <x:v>APP-009</x:v>
      </x:c>
      <x:c r="C67" s="108" t="str">
        <x:v>MULTI</x:v>
      </x:c>
      <x:c r="D67" s="108" t="str">
        <x:v>service_opening_width_min</x:v>
      </x:c>
      <x:c r="E67" s="108" t="str"/>
      <x:c r="F67" s="108" t="str">
        <x:v>100</x:v>
      </x:c>
      <x:c r="G67" s="108" t="str">
        <x:v>mm</x:v>
      </x:c>
      <x:c r="H67" s="108" t="str"/>
      <x:c r="I67" s="108" t="str">
        <x:v>official_exact_model</x:v>
      </x:c>
      <x:c r="J67" s="108" t="str">
        <x:v>confirmed</x:v>
      </x:c>
      <x:c r="K67" s="108" t="str">
        <x:v>APP-DW-INSTALL-001</x:v>
      </x:c>
      <x:c r="L67" s="108" t="str"/>
      <x:c r="M67" s="108" t="str">
        <x:v>no</x:v>
      </x:c>
      <x:c r="N67" s="108" t="str"/>
    </x:row>
    <x:row r="68" ht="34" customHeight="1">
      <x:c r="A68" s="108" t="str">
        <x:v>REQ-0066</x:v>
      </x:c>
      <x:c r="B68" s="108" t="str">
        <x:v>APP-009</x:v>
      </x:c>
      <x:c r="C68" s="108" t="str">
        <x:v>MULTI</x:v>
      </x:c>
      <x:c r="D68" s="108" t="str">
        <x:v>service_opening_height_min</x:v>
      </x:c>
      <x:c r="E68" s="108" t="str"/>
      <x:c r="F68" s="108" t="str">
        <x:v>50</x:v>
      </x:c>
      <x:c r="G68" s="108" t="str">
        <x:v>mm</x:v>
      </x:c>
      <x:c r="H68" s="108" t="str"/>
      <x:c r="I68" s="108" t="str">
        <x:v>official_exact_model</x:v>
      </x:c>
      <x:c r="J68" s="108" t="str">
        <x:v>confirmed</x:v>
      </x:c>
      <x:c r="K68" s="108" t="str">
        <x:v>APP-DW-INSTALL-001</x:v>
      </x:c>
      <x:c r="L68" s="108" t="str"/>
      <x:c r="M68" s="108" t="str">
        <x:v>no</x:v>
      </x:c>
      <x:c r="N68" s="108" t="str"/>
    </x:row>
    <x:row r="69" ht="34" customHeight="1">
      <x:c r="A69" s="108" t="str">
        <x:v>REQ-0067</x:v>
      </x:c>
      <x:c r="B69" s="108" t="str">
        <x:v>APP-009</x:v>
      </x:c>
      <x:c r="C69" s="108" t="str">
        <x:v>MULTI</x:v>
      </x:c>
      <x:c r="D69" s="108" t="str">
        <x:v>water_connection</x:v>
      </x:c>
      <x:c r="E69" s="108" t="str">
        <x:v>G3/4 cold water</x:v>
      </x:c>
      <x:c r="F69" s="108" t="str"/>
      <x:c r="G69" s="108" t="str"/>
      <x:c r="H69" s="108" t="str"/>
      <x:c r="I69" s="108" t="str">
        <x:v>official_exact_model</x:v>
      </x:c>
      <x:c r="J69" s="108" t="str">
        <x:v>confirmed</x:v>
      </x:c>
      <x:c r="K69" s="108" t="str">
        <x:v>APP-DW-INSTALL-001</x:v>
      </x:c>
      <x:c r="L69" s="108" t="str"/>
      <x:c r="M69" s="108" t="str">
        <x:v>no</x:v>
      </x:c>
      <x:c r="N69" s="108" t="str"/>
    </x:row>
    <x:row r="70" ht="34" customHeight="1">
      <x:c r="A70" s="108" t="str">
        <x:v>REQ-0068</x:v>
      </x:c>
      <x:c r="B70" s="108" t="str">
        <x:v>APP-009</x:v>
      </x:c>
      <x:c r="C70" s="108" t="str">
        <x:v>MULTI</x:v>
      </x:c>
      <x:c r="D70" s="108" t="str">
        <x:v>drain_connection_od</x:v>
      </x:c>
      <x:c r="E70" s="108" t="str"/>
      <x:c r="F70" s="108" t="str">
        <x:v>38</x:v>
      </x:c>
      <x:c r="G70" s="108" t="str">
        <x:v>mm</x:v>
      </x:c>
      <x:c r="H70" s="108" t="str"/>
      <x:c r="I70" s="108" t="str">
        <x:v>official_exact_model</x:v>
      </x:c>
      <x:c r="J70" s="108" t="str">
        <x:v>confirmed</x:v>
      </x:c>
      <x:c r="K70" s="108" t="str">
        <x:v>APP-DW-INSTALL-001</x:v>
      </x:c>
      <x:c r="L70" s="108" t="str"/>
      <x:c r="M70" s="108" t="str">
        <x:v>no</x:v>
      </x:c>
      <x:c r="N70" s="108" t="str"/>
    </x:row>
    <x:row r="71" ht="34" customHeight="1">
      <x:c r="A71" s="108" t="str">
        <x:v>REQ-0069</x:v>
      </x:c>
      <x:c r="B71" s="108" t="str">
        <x:v>APP-009</x:v>
      </x:c>
      <x:c r="C71" s="108" t="str">
        <x:v>MULTI</x:v>
      </x:c>
      <x:c r="D71" s="108" t="str">
        <x:v>water_pressure_min</x:v>
      </x:c>
      <x:c r="E71" s="108" t="str"/>
      <x:c r="F71" s="108" t="str">
        <x:v>0.05</x:v>
      </x:c>
      <x:c r="G71" s="108" t="str">
        <x:v>MPa</x:v>
      </x:c>
      <x:c r="H71" s="108" t="str"/>
      <x:c r="I71" s="108" t="str">
        <x:v>official_exact_model</x:v>
      </x:c>
      <x:c r="J71" s="108" t="str">
        <x:v>confirmed</x:v>
      </x:c>
      <x:c r="K71" s="108" t="str">
        <x:v>APP-DW-INSTALL-001</x:v>
      </x:c>
      <x:c r="L71" s="108" t="str"/>
      <x:c r="M71" s="108" t="str">
        <x:v>no</x:v>
      </x:c>
      <x:c r="N71" s="108" t="str"/>
    </x:row>
    <x:row r="72" ht="34" customHeight="1">
      <x:c r="A72" s="108" t="str">
        <x:v>REQ-0070</x:v>
      </x:c>
      <x:c r="B72" s="108" t="str">
        <x:v>APP-009</x:v>
      </x:c>
      <x:c r="C72" s="108" t="str">
        <x:v>MULTI</x:v>
      </x:c>
      <x:c r="D72" s="108" t="str">
        <x:v>water_pressure_max</x:v>
      </x:c>
      <x:c r="E72" s="108" t="str"/>
      <x:c r="F72" s="108" t="str">
        <x:v>1</x:v>
      </x:c>
      <x:c r="G72" s="108" t="str">
        <x:v>MPa</x:v>
      </x:c>
      <x:c r="H72" s="108" t="str"/>
      <x:c r="I72" s="108" t="str">
        <x:v>official_exact_model</x:v>
      </x:c>
      <x:c r="J72" s="108" t="str">
        <x:v>confirmed</x:v>
      </x:c>
      <x:c r="K72" s="108" t="str">
        <x:v>APP-DW-INSTALL-001</x:v>
      </x:c>
      <x:c r="L72" s="108" t="str"/>
      <x:c r="M72" s="108" t="str">
        <x:v>no</x:v>
      </x:c>
      <x:c r="N72" s="108" t="str"/>
    </x:row>
    <x:row r="73" ht="34" customHeight="1">
      <x:c r="A73" s="108" t="str">
        <x:v>REQ-0071</x:v>
      </x:c>
      <x:c r="B73" s="108" t="str">
        <x:v>APP-009</x:v>
      </x:c>
      <x:c r="C73" s="108" t="str">
        <x:v>MULTI</x:v>
      </x:c>
      <x:c r="D73" s="108" t="str">
        <x:v>water_flow_min</x:v>
      </x:c>
      <x:c r="E73" s="108" t="str"/>
      <x:c r="F73" s="108" t="str">
        <x:v>10</x:v>
      </x:c>
      <x:c r="G73" s="108" t="str">
        <x:v>L/min</x:v>
      </x:c>
      <x:c r="H73" s="108" t="str"/>
      <x:c r="I73" s="108" t="str">
        <x:v>official_exact_model</x:v>
      </x:c>
      <x:c r="J73" s="108" t="str">
        <x:v>confirmed</x:v>
      </x:c>
      <x:c r="K73" s="108" t="str">
        <x:v>APP-DW-INSTALL-001</x:v>
      </x:c>
      <x:c r="L73" s="108" t="str"/>
      <x:c r="M73" s="108" t="str">
        <x:v>no</x:v>
      </x:c>
      <x:c r="N73" s="108" t="str"/>
    </x:row>
    <x:row r="74" ht="34" customHeight="1">
      <x:c r="A74" s="108" t="str">
        <x:v>REQ-0072</x:v>
      </x:c>
      <x:c r="B74" s="108" t="str">
        <x:v>APP-009</x:v>
      </x:c>
      <x:c r="C74" s="108" t="str">
        <x:v>MULTI</x:v>
      </x:c>
      <x:c r="D74" s="108" t="str">
        <x:v>cold_water_temperature_max</x:v>
      </x:c>
      <x:c r="E74" s="108" t="str"/>
      <x:c r="F74" s="108" t="str">
        <x:v>25</x:v>
      </x:c>
      <x:c r="G74" s="108" t="str">
        <x:v>°C</x:v>
      </x:c>
      <x:c r="H74" s="108" t="str"/>
      <x:c r="I74" s="108" t="str">
        <x:v>official_exact_model</x:v>
      </x:c>
      <x:c r="J74" s="108" t="str">
        <x:v>confirmed</x:v>
      </x:c>
      <x:c r="K74" s="108" t="str">
        <x:v>APP-DW-INSTALL-001</x:v>
      </x:c>
      <x:c r="L74" s="108" t="str"/>
      <x:c r="M74" s="108" t="str">
        <x:v>no</x:v>
      </x:c>
      <x:c r="N74" s="108" t="str"/>
    </x:row>
    <x:row r="75" ht="34" customHeight="1">
      <x:c r="A75" s="108" t="str">
        <x:v>REQ-0073</x:v>
      </x:c>
      <x:c r="B75" s="108" t="str">
        <x:v>APP-009</x:v>
      </x:c>
      <x:c r="C75" s="108" t="str">
        <x:v>MULTI</x:v>
      </x:c>
      <x:c r="D75" s="108" t="str">
        <x:v>door_panel_width</x:v>
      </x:c>
      <x:c r="E75" s="108" t="str"/>
      <x:c r="F75" s="108" t="str">
        <x:v>594</x:v>
      </x:c>
      <x:c r="G75" s="108" t="str">
        <x:v>mm</x:v>
      </x:c>
      <x:c r="H75" s="108" t="str"/>
      <x:c r="I75" s="108" t="str">
        <x:v>official_exact_model</x:v>
      </x:c>
      <x:c r="J75" s="108" t="str">
        <x:v>confirmed</x:v>
      </x:c>
      <x:c r="K75" s="108" t="str">
        <x:v>APP-DW-INSTALL-001</x:v>
      </x:c>
      <x:c r="L75" s="108" t="str"/>
      <x:c r="M75" s="108" t="str">
        <x:v>no</x:v>
      </x:c>
      <x:c r="N75" s="108" t="str"/>
    </x:row>
    <x:row r="76" ht="34" customHeight="1">
      <x:c r="A76" s="108" t="str">
        <x:v>REQ-0074</x:v>
      </x:c>
      <x:c r="B76" s="108" t="str">
        <x:v>APP-009</x:v>
      </x:c>
      <x:c r="C76" s="108" t="str">
        <x:v>MULTI</x:v>
      </x:c>
      <x:c r="D76" s="108" t="str">
        <x:v>door_panel_thickness_max</x:v>
      </x:c>
      <x:c r="E76" s="108" t="str"/>
      <x:c r="F76" s="108" t="str">
        <x:v>20</x:v>
      </x:c>
      <x:c r="G76" s="108" t="str">
        <x:v>mm</x:v>
      </x:c>
      <x:c r="H76" s="108" t="str"/>
      <x:c r="I76" s="108" t="str">
        <x:v>official_exact_model</x:v>
      </x:c>
      <x:c r="J76" s="108" t="str">
        <x:v>confirmed</x:v>
      </x:c>
      <x:c r="K76" s="108" t="str">
        <x:v>APP-DW-INSTALL-001</x:v>
      </x:c>
      <x:c r="L76" s="108" t="str"/>
      <x:c r="M76" s="108" t="str">
        <x:v>no</x:v>
      </x:c>
      <x:c r="N76" s="108" t="str"/>
    </x:row>
    <x:row r="77" ht="34" customHeight="1">
      <x:c r="A77" s="108" t="str">
        <x:v>REQ-0075</x:v>
      </x:c>
      <x:c r="B77" s="108" t="str">
        <x:v>APP-009</x:v>
      </x:c>
      <x:c r="C77" s="108" t="str">
        <x:v>MULTI</x:v>
      </x:c>
      <x:c r="D77" s="108" t="str">
        <x:v>door_panel_weight_min</x:v>
      </x:c>
      <x:c r="E77" s="108" t="str"/>
      <x:c r="F77" s="108" t="str">
        <x:v>3.5</x:v>
      </x:c>
      <x:c r="G77" s="108" t="str">
        <x:v>kg</x:v>
      </x:c>
      <x:c r="H77" s="108" t="str"/>
      <x:c r="I77" s="108" t="str">
        <x:v>official_exact_model</x:v>
      </x:c>
      <x:c r="J77" s="108" t="str">
        <x:v>confirmed</x:v>
      </x:c>
      <x:c r="K77" s="108" t="str">
        <x:v>APP-DW-INSTALL-001</x:v>
      </x:c>
      <x:c r="L77" s="108" t="str"/>
      <x:c r="M77" s="108" t="str">
        <x:v>no</x:v>
      </x:c>
      <x:c r="N77" s="108" t="str"/>
    </x:row>
    <x:row r="78" ht="34" customHeight="1">
      <x:c r="A78" s="108" t="str">
        <x:v>REQ-0076</x:v>
      </x:c>
      <x:c r="B78" s="108" t="str">
        <x:v>APP-009</x:v>
      </x:c>
      <x:c r="C78" s="108" t="str">
        <x:v>MULTI</x:v>
      </x:c>
      <x:c r="D78" s="108" t="str">
        <x:v>door_panel_weight_max</x:v>
      </x:c>
      <x:c r="E78" s="108" t="str"/>
      <x:c r="F78" s="108" t="str">
        <x:v>8.5</x:v>
      </x:c>
      <x:c r="G78" s="108" t="str">
        <x:v>kg</x:v>
      </x:c>
      <x:c r="H78" s="108" t="str"/>
      <x:c r="I78" s="108" t="str">
        <x:v>official_exact_model</x:v>
      </x:c>
      <x:c r="J78" s="108" t="str">
        <x:v>confirmed</x:v>
      </x:c>
      <x:c r="K78" s="108" t="str">
        <x:v>APP-DW-INSTALL-001</x:v>
      </x:c>
      <x:c r="L78" s="108" t="str"/>
      <x:c r="M78" s="108" t="str">
        <x:v>no</x:v>
      </x:c>
      <x:c r="N78" s="108" t="str"/>
    </x:row>
    <x:row r="79" ht="34" customHeight="1">
      <x:c r="A79" s="108" t="str">
        <x:v>REQ-0077</x:v>
      </x:c>
      <x:c r="B79" s="108" t="str">
        <x:v>APP-010</x:v>
      </x:c>
      <x:c r="C79" s="108" t="str">
        <x:v>ELEC</x:v>
      </x:c>
      <x:c r="D79" s="108" t="str">
        <x:v>rated_power</x:v>
      </x:c>
      <x:c r="E79" s="108" t="str"/>
      <x:c r="F79" s="108" t="str">
        <x:v>2000</x:v>
      </x:c>
      <x:c r="G79" s="108" t="str">
        <x:v>W</x:v>
      </x:c>
      <x:c r="H79" s="108" t="str"/>
      <x:c r="I79" s="108" t="str">
        <x:v>user_input</x:v>
      </x:c>
      <x:c r="J79" s="108" t="str">
        <x:v>confirmed</x:v>
      </x:c>
      <x:c r="K79" s="108" t="str"/>
      <x:c r="L79" s="108" t="str"/>
      <x:c r="M79" s="108" t="str">
        <x:v>no</x:v>
      </x:c>
      <x:c r="N79" s="108" t="str"/>
    </x:row>
    <x:row r="80" ht="34" customHeight="1">
      <x:c r="A80" s="108" t="str">
        <x:v>REQ-0078</x:v>
      </x:c>
      <x:c r="B80" s="108" t="str">
        <x:v>APP-010</x:v>
      </x:c>
      <x:c r="C80" s="108" t="str">
        <x:v>ELEC</x:v>
      </x:c>
      <x:c r="D80" s="108" t="str">
        <x:v>simultaneous_group</x:v>
      </x:c>
      <x:c r="E80" s="108" t="str">
        <x:v>DISHWASHER-B</x:v>
      </x:c>
      <x:c r="F80" s="108" t="str"/>
      <x:c r="G80" s="108" t="str"/>
      <x:c r="H80" s="108" t="str"/>
      <x:c r="I80" s="108" t="str">
        <x:v>user_input</x:v>
      </x:c>
      <x:c r="J80" s="108" t="str">
        <x:v>confirmed</x:v>
      </x:c>
      <x:c r="K80" s="108" t="str"/>
      <x:c r="L80" s="108" t="str"/>
      <x:c r="M80" s="108" t="str">
        <x:v>no</x:v>
      </x:c>
      <x:c r="N80" s="108" t="str"/>
    </x:row>
    <x:row r="81" ht="34" customHeight="1">
      <x:c r="A81" s="108" t="str">
        <x:v>REQ-0079</x:v>
      </x:c>
      <x:c r="B81" s="108" t="str">
        <x:v>APP-010</x:v>
      </x:c>
      <x:c r="C81" s="108" t="str">
        <x:v>PLUM</x:v>
      </x:c>
      <x:c r="D81" s="108" t="str">
        <x:v>water_required</x:v>
      </x:c>
      <x:c r="E81" s="108" t="str">
        <x:v>yes</x:v>
      </x:c>
      <x:c r="F81" s="108" t="str"/>
      <x:c r="G81" s="108" t="str"/>
      <x:c r="H81" s="108" t="str"/>
      <x:c r="I81" s="108" t="str">
        <x:v>user_input</x:v>
      </x:c>
      <x:c r="J81" s="108" t="str">
        <x:v>confirmed</x:v>
      </x:c>
      <x:c r="K81" s="108" t="str"/>
      <x:c r="L81" s="108" t="str"/>
      <x:c r="M81" s="108" t="str">
        <x:v>no</x:v>
      </x:c>
      <x:c r="N81" s="108" t="str"/>
    </x:row>
    <x:row r="82" ht="34" customHeight="1">
      <x:c r="A82" s="108" t="str">
        <x:v>REQ-0080</x:v>
      </x:c>
      <x:c r="B82" s="108" t="str">
        <x:v>APP-010</x:v>
      </x:c>
      <x:c r="C82" s="108" t="str">
        <x:v>PLUM</x:v>
      </x:c>
      <x:c r="D82" s="108" t="str">
        <x:v>drain_required</x:v>
      </x:c>
      <x:c r="E82" s="108" t="str">
        <x:v>yes</x:v>
      </x:c>
      <x:c r="F82" s="108" t="str"/>
      <x:c r="G82" s="108" t="str"/>
      <x:c r="H82" s="108" t="str"/>
      <x:c r="I82" s="108" t="str">
        <x:v>user_input</x:v>
      </x:c>
      <x:c r="J82" s="108" t="str">
        <x:v>confirmed</x:v>
      </x:c>
      <x:c r="K82" s="108" t="str"/>
      <x:c r="L82" s="108" t="str"/>
      <x:c r="M82" s="108" t="str">
        <x:v>no</x:v>
      </x:c>
      <x:c r="N82" s="108" t="str"/>
    </x:row>
    <x:row r="83" ht="34" customHeight="1">
      <x:c r="A83" s="108" t="str">
        <x:v>REQ-0081</x:v>
      </x:c>
      <x:c r="B83" s="108" t="str">
        <x:v>APP-010</x:v>
      </x:c>
      <x:c r="C83" s="108" t="str">
        <x:v>GAS</x:v>
      </x:c>
      <x:c r="D83" s="108" t="str">
        <x:v>gas_required</x:v>
      </x:c>
      <x:c r="E83" s="108" t="str">
        <x:v>no</x:v>
      </x:c>
      <x:c r="F83" s="108" t="str"/>
      <x:c r="G83" s="108" t="str"/>
      <x:c r="H83" s="108" t="str"/>
      <x:c r="I83" s="108" t="str">
        <x:v>user_input</x:v>
      </x:c>
      <x:c r="J83" s="108" t="str">
        <x:v>confirmed</x:v>
      </x:c>
      <x:c r="K83" s="108" t="str"/>
      <x:c r="L83" s="108" t="str"/>
      <x:c r="M83" s="108" t="str">
        <x:v>no</x:v>
      </x:c>
      <x:c r="N83" s="108" t="str"/>
    </x:row>
    <x:row r="84" ht="34" customHeight="1">
      <x:c r="A84" s="108" t="str">
        <x:v>REQ-0082</x:v>
      </x:c>
      <x:c r="B84" s="108" t="str">
        <x:v>APP-010</x:v>
      </x:c>
      <x:c r="C84" s="108" t="str">
        <x:v>HVAC</x:v>
      </x:c>
      <x:c r="D84" s="108" t="str">
        <x:v>ventilation_required</x:v>
      </x:c>
      <x:c r="E84" s="108" t="str">
        <x:v>no</x:v>
      </x:c>
      <x:c r="F84" s="108" t="str"/>
      <x:c r="G84" s="108" t="str"/>
      <x:c r="H84" s="108" t="str"/>
      <x:c r="I84" s="108" t="str">
        <x:v>user_input</x:v>
      </x:c>
      <x:c r="J84" s="108" t="str">
        <x:v>confirmed</x:v>
      </x:c>
      <x:c r="K84" s="108" t="str"/>
      <x:c r="L84" s="108" t="str"/>
      <x:c r="M84" s="108" t="str">
        <x:v>no</x:v>
      </x:c>
      <x:c r="N84" s="108" t="str"/>
    </x:row>
    <x:row r="85" ht="34" customHeight="1">
      <x:c r="A85" s="108" t="str">
        <x:v>REQ-0083</x:v>
      </x:c>
      <x:c r="B85" s="108" t="str">
        <x:v>APP-010</x:v>
      </x:c>
      <x:c r="C85" s="108" t="str">
        <x:v>MULTI</x:v>
      </x:c>
      <x:c r="D85" s="108" t="str">
        <x:v>rated_voltage</x:v>
      </x:c>
      <x:c r="E85" s="108" t="str"/>
      <x:c r="F85" s="108" t="str">
        <x:v>220</x:v>
      </x:c>
      <x:c r="G85" s="108" t="str">
        <x:v>V</x:v>
      </x:c>
      <x:c r="H85" s="108" t="str"/>
      <x:c r="I85" s="108" t="str">
        <x:v>official_exact_model</x:v>
      </x:c>
      <x:c r="J85" s="108" t="str">
        <x:v>confirmed</x:v>
      </x:c>
      <x:c r="K85" s="108" t="str">
        <x:v>APP-DW-SPEC-001</x:v>
      </x:c>
      <x:c r="L85" s="108" t="str"/>
      <x:c r="M85" s="108" t="str">
        <x:v>no</x:v>
      </x:c>
      <x:c r="N85" s="108" t="str"/>
    </x:row>
    <x:row r="86" ht="34" customHeight="1">
      <x:c r="A86" s="108" t="str">
        <x:v>REQ-0084</x:v>
      </x:c>
      <x:c r="B86" s="108" t="str">
        <x:v>APP-010</x:v>
      </x:c>
      <x:c r="C86" s="108" t="str">
        <x:v>MULTI</x:v>
      </x:c>
      <x:c r="D86" s="108" t="str">
        <x:v>rated_current</x:v>
      </x:c>
      <x:c r="E86" s="108" t="str"/>
      <x:c r="F86" s="108" t="str">
        <x:v>10</x:v>
      </x:c>
      <x:c r="G86" s="108" t="str">
        <x:v>A</x:v>
      </x:c>
      <x:c r="H86" s="108" t="str"/>
      <x:c r="I86" s="108" t="str">
        <x:v>official_exact_model</x:v>
      </x:c>
      <x:c r="J86" s="108" t="str">
        <x:v>confirmed</x:v>
      </x:c>
      <x:c r="K86" s="108" t="str">
        <x:v>APP-DW-SPEC-001</x:v>
      </x:c>
      <x:c r="L86" s="108" t="str"/>
      <x:c r="M86" s="108" t="str">
        <x:v>no</x:v>
      </x:c>
      <x:c r="N86" s="108" t="str"/>
    </x:row>
    <x:row r="87" ht="34" customHeight="1">
      <x:c r="A87" s="108" t="str">
        <x:v>REQ-0085</x:v>
      </x:c>
      <x:c r="B87" s="108" t="str">
        <x:v>APP-010</x:v>
      </x:c>
      <x:c r="C87" s="108" t="str">
        <x:v>MULTI</x:v>
      </x:c>
      <x:c r="D87" s="108" t="str">
        <x:v>product_height</x:v>
      </x:c>
      <x:c r="E87" s="108" t="str"/>
      <x:c r="F87" s="108" t="str">
        <x:v>775</x:v>
      </x:c>
      <x:c r="G87" s="108" t="str">
        <x:v>mm</x:v>
      </x:c>
      <x:c r="H87" s="108" t="str"/>
      <x:c r="I87" s="108" t="str">
        <x:v>official_exact_model</x:v>
      </x:c>
      <x:c r="J87" s="108" t="str">
        <x:v>confirmed</x:v>
      </x:c>
      <x:c r="K87" s="108" t="str">
        <x:v>APP-DW-SPEC-001</x:v>
      </x:c>
      <x:c r="L87" s="108" t="str"/>
      <x:c r="M87" s="108" t="str">
        <x:v>no</x:v>
      </x:c>
      <x:c r="N87" s="108" t="str"/>
    </x:row>
    <x:row r="88" ht="34" customHeight="1">
      <x:c r="A88" s="108" t="str">
        <x:v>REQ-0086</x:v>
      </x:c>
      <x:c r="B88" s="108" t="str">
        <x:v>APP-010</x:v>
      </x:c>
      <x:c r="C88" s="108" t="str">
        <x:v>MULTI</x:v>
      </x:c>
      <x:c r="D88" s="108" t="str">
        <x:v>product_width</x:v>
      </x:c>
      <x:c r="E88" s="108" t="str"/>
      <x:c r="F88" s="108" t="str">
        <x:v>598</x:v>
      </x:c>
      <x:c r="G88" s="108" t="str">
        <x:v>mm</x:v>
      </x:c>
      <x:c r="H88" s="108" t="str"/>
      <x:c r="I88" s="108" t="str">
        <x:v>official_exact_model</x:v>
      </x:c>
      <x:c r="J88" s="108" t="str">
        <x:v>confirmed</x:v>
      </x:c>
      <x:c r="K88" s="108" t="str">
        <x:v>APP-DW-SPEC-001</x:v>
      </x:c>
      <x:c r="L88" s="108" t="str"/>
      <x:c r="M88" s="108" t="str">
        <x:v>no</x:v>
      </x:c>
      <x:c r="N88" s="108" t="str"/>
    </x:row>
    <x:row r="89" ht="34" customHeight="1">
      <x:c r="A89" s="108" t="str">
        <x:v>REQ-0087</x:v>
      </x:c>
      <x:c r="B89" s="108" t="str">
        <x:v>APP-010</x:v>
      </x:c>
      <x:c r="C89" s="108" t="str">
        <x:v>MULTI</x:v>
      </x:c>
      <x:c r="D89" s="108" t="str">
        <x:v>product_depth</x:v>
      </x:c>
      <x:c r="E89" s="108" t="str"/>
      <x:c r="F89" s="108" t="str">
        <x:v>550</x:v>
      </x:c>
      <x:c r="G89" s="108" t="str">
        <x:v>mm</x:v>
      </x:c>
      <x:c r="H89" s="108" t="str"/>
      <x:c r="I89" s="108" t="str">
        <x:v>official_exact_model</x:v>
      </x:c>
      <x:c r="J89" s="108" t="str">
        <x:v>confirmed</x:v>
      </x:c>
      <x:c r="K89" s="108" t="str">
        <x:v>APP-DW-SPEC-001</x:v>
      </x:c>
      <x:c r="L89" s="108" t="str"/>
      <x:c r="M89" s="108" t="str">
        <x:v>no</x:v>
      </x:c>
      <x:c r="N89" s="108" t="str"/>
    </x:row>
    <x:row r="90" ht="34" customHeight="1">
      <x:c r="A90" s="108" t="str">
        <x:v>REQ-0088</x:v>
      </x:c>
      <x:c r="B90" s="108" t="str">
        <x:v>APP-010</x:v>
      </x:c>
      <x:c r="C90" s="108" t="str">
        <x:v>MULTI</x:v>
      </x:c>
      <x:c r="D90" s="108" t="str">
        <x:v>niche_height_min</x:v>
      </x:c>
      <x:c r="E90" s="108" t="str"/>
      <x:c r="F90" s="108" t="str">
        <x:v>780</x:v>
      </x:c>
      <x:c r="G90" s="108" t="str">
        <x:v>mm</x:v>
      </x:c>
      <x:c r="H90" s="108" t="str"/>
      <x:c r="I90" s="108" t="str">
        <x:v>official_exact_model</x:v>
      </x:c>
      <x:c r="J90" s="108" t="str">
        <x:v>confirmed</x:v>
      </x:c>
      <x:c r="K90" s="108" t="str">
        <x:v>APP-DW-INSTALL-001</x:v>
      </x:c>
      <x:c r="L90" s="108" t="str"/>
      <x:c r="M90" s="108" t="str">
        <x:v>no</x:v>
      </x:c>
      <x:c r="N90" s="108" t="str"/>
    </x:row>
    <x:row r="91" ht="34" customHeight="1">
      <x:c r="A91" s="108" t="str">
        <x:v>REQ-0089</x:v>
      </x:c>
      <x:c r="B91" s="108" t="str">
        <x:v>APP-010</x:v>
      </x:c>
      <x:c r="C91" s="108" t="str">
        <x:v>MULTI</x:v>
      </x:c>
      <x:c r="D91" s="108" t="str">
        <x:v>niche_height_max</x:v>
      </x:c>
      <x:c r="E91" s="108" t="str"/>
      <x:c r="F91" s="108" t="str">
        <x:v>835</x:v>
      </x:c>
      <x:c r="G91" s="108" t="str">
        <x:v>mm</x:v>
      </x:c>
      <x:c r="H91" s="108" t="str"/>
      <x:c r="I91" s="108" t="str">
        <x:v>official_exact_model</x:v>
      </x:c>
      <x:c r="J91" s="108" t="str">
        <x:v>confirmed</x:v>
      </x:c>
      <x:c r="K91" s="108" t="str">
        <x:v>APP-DW-INSTALL-001</x:v>
      </x:c>
      <x:c r="L91" s="108" t="str"/>
      <x:c r="M91" s="108" t="str">
        <x:v>no</x:v>
      </x:c>
      <x:c r="N91" s="108" t="str"/>
    </x:row>
    <x:row r="92" ht="34" customHeight="1">
      <x:c r="A92" s="108" t="str">
        <x:v>REQ-0090</x:v>
      </x:c>
      <x:c r="B92" s="108" t="str">
        <x:v>APP-010</x:v>
      </x:c>
      <x:c r="C92" s="108" t="str">
        <x:v>MULTI</x:v>
      </x:c>
      <x:c r="D92" s="108" t="str">
        <x:v>niche_width_min</x:v>
      </x:c>
      <x:c r="E92" s="108" t="str"/>
      <x:c r="F92" s="108" t="str">
        <x:v>600</x:v>
      </x:c>
      <x:c r="G92" s="108" t="str">
        <x:v>mm</x:v>
      </x:c>
      <x:c r="H92" s="108" t="str"/>
      <x:c r="I92" s="108" t="str">
        <x:v>official_exact_model</x:v>
      </x:c>
      <x:c r="J92" s="108" t="str">
        <x:v>confirmed</x:v>
      </x:c>
      <x:c r="K92" s="108" t="str">
        <x:v>APP-DW-INSTALL-001</x:v>
      </x:c>
      <x:c r="L92" s="108" t="str"/>
      <x:c r="M92" s="108" t="str">
        <x:v>no</x:v>
      </x:c>
      <x:c r="N92" s="108" t="str"/>
    </x:row>
    <x:row r="93" ht="34" customHeight="1">
      <x:c r="A93" s="108" t="str">
        <x:v>REQ-0091</x:v>
      </x:c>
      <x:c r="B93" s="108" t="str">
        <x:v>APP-010</x:v>
      </x:c>
      <x:c r="C93" s="108" t="str">
        <x:v>MULTI</x:v>
      </x:c>
      <x:c r="D93" s="108" t="str">
        <x:v>niche_width_max</x:v>
      </x:c>
      <x:c r="E93" s="108" t="str"/>
      <x:c r="F93" s="108" t="str">
        <x:v>608</x:v>
      </x:c>
      <x:c r="G93" s="108" t="str">
        <x:v>mm</x:v>
      </x:c>
      <x:c r="H93" s="108" t="str"/>
      <x:c r="I93" s="108" t="str">
        <x:v>official_exact_model</x:v>
      </x:c>
      <x:c r="J93" s="108" t="str">
        <x:v>confirmed</x:v>
      </x:c>
      <x:c r="K93" s="108" t="str">
        <x:v>APP-DW-INSTALL-001</x:v>
      </x:c>
      <x:c r="L93" s="108" t="str"/>
      <x:c r="M93" s="108" t="str">
        <x:v>no</x:v>
      </x:c>
      <x:c r="N93" s="108" t="str"/>
    </x:row>
    <x:row r="94" ht="34" customHeight="1">
      <x:c r="A94" s="108" t="str">
        <x:v>REQ-0092</x:v>
      </x:c>
      <x:c r="B94" s="108" t="str">
        <x:v>APP-010</x:v>
      </x:c>
      <x:c r="C94" s="108" t="str">
        <x:v>MULTI</x:v>
      </x:c>
      <x:c r="D94" s="108" t="str">
        <x:v>niche_depth_min</x:v>
      </x:c>
      <x:c r="E94" s="108" t="str"/>
      <x:c r="F94" s="108" t="str">
        <x:v>550</x:v>
      </x:c>
      <x:c r="G94" s="108" t="str">
        <x:v>mm</x:v>
      </x:c>
      <x:c r="H94" s="108" t="str"/>
      <x:c r="I94" s="108" t="str">
        <x:v>official_exact_model</x:v>
      </x:c>
      <x:c r="J94" s="108" t="str">
        <x:v>confirmed</x:v>
      </x:c>
      <x:c r="K94" s="108" t="str">
        <x:v>APP-DW-INSTALL-001</x:v>
      </x:c>
      <x:c r="L94" s="108" t="str"/>
      <x:c r="M94" s="108" t="str">
        <x:v>no</x:v>
      </x:c>
      <x:c r="N94" s="108" t="str"/>
    </x:row>
    <x:row r="95" ht="34" customHeight="1">
      <x:c r="A95" s="108" t="str">
        <x:v>REQ-0093</x:v>
      </x:c>
      <x:c r="B95" s="108" t="str">
        <x:v>APP-010</x:v>
      </x:c>
      <x:c r="C95" s="108" t="str">
        <x:v>MULTI</x:v>
      </x:c>
      <x:c r="D95" s="108" t="str">
        <x:v>service_opening_width_min</x:v>
      </x:c>
      <x:c r="E95" s="108" t="str"/>
      <x:c r="F95" s="108" t="str">
        <x:v>100</x:v>
      </x:c>
      <x:c r="G95" s="108" t="str">
        <x:v>mm</x:v>
      </x:c>
      <x:c r="H95" s="108" t="str"/>
      <x:c r="I95" s="108" t="str">
        <x:v>official_exact_model</x:v>
      </x:c>
      <x:c r="J95" s="108" t="str">
        <x:v>confirmed</x:v>
      </x:c>
      <x:c r="K95" s="108" t="str">
        <x:v>APP-DW-INSTALL-001</x:v>
      </x:c>
      <x:c r="L95" s="108" t="str"/>
      <x:c r="M95" s="108" t="str">
        <x:v>no</x:v>
      </x:c>
      <x:c r="N95" s="108" t="str"/>
    </x:row>
    <x:row r="96" ht="34" customHeight="1">
      <x:c r="A96" s="108" t="str">
        <x:v>REQ-0094</x:v>
      </x:c>
      <x:c r="B96" s="108" t="str">
        <x:v>APP-010</x:v>
      </x:c>
      <x:c r="C96" s="108" t="str">
        <x:v>MULTI</x:v>
      </x:c>
      <x:c r="D96" s="108" t="str">
        <x:v>service_opening_height_min</x:v>
      </x:c>
      <x:c r="E96" s="108" t="str"/>
      <x:c r="F96" s="108" t="str">
        <x:v>50</x:v>
      </x:c>
      <x:c r="G96" s="108" t="str">
        <x:v>mm</x:v>
      </x:c>
      <x:c r="H96" s="108" t="str"/>
      <x:c r="I96" s="108" t="str">
        <x:v>official_exact_model</x:v>
      </x:c>
      <x:c r="J96" s="108" t="str">
        <x:v>confirmed</x:v>
      </x:c>
      <x:c r="K96" s="108" t="str">
        <x:v>APP-DW-INSTALL-001</x:v>
      </x:c>
      <x:c r="L96" s="108" t="str"/>
      <x:c r="M96" s="108" t="str">
        <x:v>no</x:v>
      </x:c>
      <x:c r="N96" s="108" t="str"/>
    </x:row>
    <x:row r="97" ht="34" customHeight="1">
      <x:c r="A97" s="108" t="str">
        <x:v>REQ-0095</x:v>
      </x:c>
      <x:c r="B97" s="108" t="str">
        <x:v>APP-010</x:v>
      </x:c>
      <x:c r="C97" s="108" t="str">
        <x:v>MULTI</x:v>
      </x:c>
      <x:c r="D97" s="108" t="str">
        <x:v>water_connection</x:v>
      </x:c>
      <x:c r="E97" s="108" t="str">
        <x:v>G3/4 cold water</x:v>
      </x:c>
      <x:c r="F97" s="108" t="str"/>
      <x:c r="G97" s="108" t="str"/>
      <x:c r="H97" s="108" t="str"/>
      <x:c r="I97" s="108" t="str">
        <x:v>official_exact_model</x:v>
      </x:c>
      <x:c r="J97" s="108" t="str">
        <x:v>confirmed</x:v>
      </x:c>
      <x:c r="K97" s="108" t="str">
        <x:v>APP-DW-INSTALL-001</x:v>
      </x:c>
      <x:c r="L97" s="108" t="str"/>
      <x:c r="M97" s="108" t="str">
        <x:v>no</x:v>
      </x:c>
      <x:c r="N97" s="108" t="str"/>
    </x:row>
    <x:row r="98" ht="34" customHeight="1">
      <x:c r="A98" s="108" t="str">
        <x:v>REQ-0096</x:v>
      </x:c>
      <x:c r="B98" s="108" t="str">
        <x:v>APP-010</x:v>
      </x:c>
      <x:c r="C98" s="108" t="str">
        <x:v>MULTI</x:v>
      </x:c>
      <x:c r="D98" s="108" t="str">
        <x:v>drain_connection_od</x:v>
      </x:c>
      <x:c r="E98" s="108" t="str"/>
      <x:c r="F98" s="108" t="str">
        <x:v>38</x:v>
      </x:c>
      <x:c r="G98" s="108" t="str">
        <x:v>mm</x:v>
      </x:c>
      <x:c r="H98" s="108" t="str"/>
      <x:c r="I98" s="108" t="str">
        <x:v>official_exact_model</x:v>
      </x:c>
      <x:c r="J98" s="108" t="str">
        <x:v>confirmed</x:v>
      </x:c>
      <x:c r="K98" s="108" t="str">
        <x:v>APP-DW-INSTALL-001</x:v>
      </x:c>
      <x:c r="L98" s="108" t="str"/>
      <x:c r="M98" s="108" t="str">
        <x:v>no</x:v>
      </x:c>
      <x:c r="N98" s="108" t="str"/>
    </x:row>
    <x:row r="99" ht="34" customHeight="1">
      <x:c r="A99" s="108" t="str">
        <x:v>REQ-0097</x:v>
      </x:c>
      <x:c r="B99" s="108" t="str">
        <x:v>APP-010</x:v>
      </x:c>
      <x:c r="C99" s="108" t="str">
        <x:v>MULTI</x:v>
      </x:c>
      <x:c r="D99" s="108" t="str">
        <x:v>water_pressure_min</x:v>
      </x:c>
      <x:c r="E99" s="108" t="str"/>
      <x:c r="F99" s="108" t="str">
        <x:v>0.05</x:v>
      </x:c>
      <x:c r="G99" s="108" t="str">
        <x:v>MPa</x:v>
      </x:c>
      <x:c r="H99" s="108" t="str"/>
      <x:c r="I99" s="108" t="str">
        <x:v>official_exact_model</x:v>
      </x:c>
      <x:c r="J99" s="108" t="str">
        <x:v>confirmed</x:v>
      </x:c>
      <x:c r="K99" s="108" t="str">
        <x:v>APP-DW-INSTALL-001</x:v>
      </x:c>
      <x:c r="L99" s="108" t="str"/>
      <x:c r="M99" s="108" t="str">
        <x:v>no</x:v>
      </x:c>
      <x:c r="N99" s="108" t="str"/>
    </x:row>
    <x:row r="100" ht="34" customHeight="1">
      <x:c r="A100" s="108" t="str">
        <x:v>REQ-0098</x:v>
      </x:c>
      <x:c r="B100" s="108" t="str">
        <x:v>APP-010</x:v>
      </x:c>
      <x:c r="C100" s="108" t="str">
        <x:v>MULTI</x:v>
      </x:c>
      <x:c r="D100" s="108" t="str">
        <x:v>water_pressure_max</x:v>
      </x:c>
      <x:c r="E100" s="108" t="str"/>
      <x:c r="F100" s="108" t="str">
        <x:v>1</x:v>
      </x:c>
      <x:c r="G100" s="108" t="str">
        <x:v>MPa</x:v>
      </x:c>
      <x:c r="H100" s="108" t="str"/>
      <x:c r="I100" s="108" t="str">
        <x:v>official_exact_model</x:v>
      </x:c>
      <x:c r="J100" s="108" t="str">
        <x:v>confirmed</x:v>
      </x:c>
      <x:c r="K100" s="108" t="str">
        <x:v>APP-DW-INSTALL-001</x:v>
      </x:c>
      <x:c r="L100" s="108" t="str"/>
      <x:c r="M100" s="108" t="str">
        <x:v>no</x:v>
      </x:c>
      <x:c r="N100" s="108" t="str"/>
    </x:row>
    <x:row r="101" ht="34" customHeight="1">
      <x:c r="A101" s="108" t="str">
        <x:v>REQ-0099</x:v>
      </x:c>
      <x:c r="B101" s="108" t="str">
        <x:v>APP-010</x:v>
      </x:c>
      <x:c r="C101" s="108" t="str">
        <x:v>MULTI</x:v>
      </x:c>
      <x:c r="D101" s="108" t="str">
        <x:v>water_flow_min</x:v>
      </x:c>
      <x:c r="E101" s="108" t="str"/>
      <x:c r="F101" s="108" t="str">
        <x:v>10</x:v>
      </x:c>
      <x:c r="G101" s="108" t="str">
        <x:v>L/min</x:v>
      </x:c>
      <x:c r="H101" s="108" t="str"/>
      <x:c r="I101" s="108" t="str">
        <x:v>official_exact_model</x:v>
      </x:c>
      <x:c r="J101" s="108" t="str">
        <x:v>confirmed</x:v>
      </x:c>
      <x:c r="K101" s="108" t="str">
        <x:v>APP-DW-INSTALL-001</x:v>
      </x:c>
      <x:c r="L101" s="108" t="str"/>
      <x:c r="M101" s="108" t="str">
        <x:v>no</x:v>
      </x:c>
      <x:c r="N101" s="108" t="str"/>
    </x:row>
    <x:row r="102" ht="34" customHeight="1">
      <x:c r="A102" s="108" t="str">
        <x:v>REQ-0100</x:v>
      </x:c>
      <x:c r="B102" s="108" t="str">
        <x:v>APP-010</x:v>
      </x:c>
      <x:c r="C102" s="108" t="str">
        <x:v>MULTI</x:v>
      </x:c>
      <x:c r="D102" s="108" t="str">
        <x:v>cold_water_temperature_max</x:v>
      </x:c>
      <x:c r="E102" s="108" t="str"/>
      <x:c r="F102" s="108" t="str">
        <x:v>25</x:v>
      </x:c>
      <x:c r="G102" s="108" t="str">
        <x:v>°C</x:v>
      </x:c>
      <x:c r="H102" s="108" t="str"/>
      <x:c r="I102" s="108" t="str">
        <x:v>official_exact_model</x:v>
      </x:c>
      <x:c r="J102" s="108" t="str">
        <x:v>confirmed</x:v>
      </x:c>
      <x:c r="K102" s="108" t="str">
        <x:v>APP-DW-INSTALL-001</x:v>
      </x:c>
      <x:c r="L102" s="108" t="str"/>
      <x:c r="M102" s="108" t="str">
        <x:v>no</x:v>
      </x:c>
      <x:c r="N102" s="108" t="str"/>
    </x:row>
    <x:row r="103" ht="34" customHeight="1">
      <x:c r="A103" s="108" t="str">
        <x:v>REQ-0101</x:v>
      </x:c>
      <x:c r="B103" s="108" t="str">
        <x:v>APP-010</x:v>
      </x:c>
      <x:c r="C103" s="108" t="str">
        <x:v>MULTI</x:v>
      </x:c>
      <x:c r="D103" s="108" t="str">
        <x:v>door_panel_width</x:v>
      </x:c>
      <x:c r="E103" s="108" t="str"/>
      <x:c r="F103" s="108" t="str">
        <x:v>594</x:v>
      </x:c>
      <x:c r="G103" s="108" t="str">
        <x:v>mm</x:v>
      </x:c>
      <x:c r="H103" s="108" t="str"/>
      <x:c r="I103" s="108" t="str">
        <x:v>official_exact_model</x:v>
      </x:c>
      <x:c r="J103" s="108" t="str">
        <x:v>confirmed</x:v>
      </x:c>
      <x:c r="K103" s="108" t="str">
        <x:v>APP-DW-INSTALL-001</x:v>
      </x:c>
      <x:c r="L103" s="108" t="str"/>
      <x:c r="M103" s="108" t="str">
        <x:v>no</x:v>
      </x:c>
      <x:c r="N103" s="108" t="str"/>
    </x:row>
    <x:row r="104" ht="34" customHeight="1">
      <x:c r="A104" s="108" t="str">
        <x:v>REQ-0102</x:v>
      </x:c>
      <x:c r="B104" s="108" t="str">
        <x:v>APP-010</x:v>
      </x:c>
      <x:c r="C104" s="108" t="str">
        <x:v>MULTI</x:v>
      </x:c>
      <x:c r="D104" s="108" t="str">
        <x:v>door_panel_thickness_max</x:v>
      </x:c>
      <x:c r="E104" s="108" t="str"/>
      <x:c r="F104" s="108" t="str">
        <x:v>20</x:v>
      </x:c>
      <x:c r="G104" s="108" t="str">
        <x:v>mm</x:v>
      </x:c>
      <x:c r="H104" s="108" t="str"/>
      <x:c r="I104" s="108" t="str">
        <x:v>official_exact_model</x:v>
      </x:c>
      <x:c r="J104" s="108" t="str">
        <x:v>confirmed</x:v>
      </x:c>
      <x:c r="K104" s="108" t="str">
        <x:v>APP-DW-INSTALL-001</x:v>
      </x:c>
      <x:c r="L104" s="108" t="str"/>
      <x:c r="M104" s="108" t="str">
        <x:v>no</x:v>
      </x:c>
      <x:c r="N104" s="108" t="str"/>
    </x:row>
    <x:row r="105" ht="34" customHeight="1">
      <x:c r="A105" s="108" t="str">
        <x:v>REQ-0103</x:v>
      </x:c>
      <x:c r="B105" s="108" t="str">
        <x:v>APP-010</x:v>
      </x:c>
      <x:c r="C105" s="108" t="str">
        <x:v>MULTI</x:v>
      </x:c>
      <x:c r="D105" s="108" t="str">
        <x:v>door_panel_weight_min</x:v>
      </x:c>
      <x:c r="E105" s="108" t="str"/>
      <x:c r="F105" s="108" t="str">
        <x:v>3.5</x:v>
      </x:c>
      <x:c r="G105" s="108" t="str">
        <x:v>kg</x:v>
      </x:c>
      <x:c r="H105" s="108" t="str"/>
      <x:c r="I105" s="108" t="str">
        <x:v>official_exact_model</x:v>
      </x:c>
      <x:c r="J105" s="108" t="str">
        <x:v>confirmed</x:v>
      </x:c>
      <x:c r="K105" s="108" t="str">
        <x:v>APP-DW-INSTALL-001</x:v>
      </x:c>
      <x:c r="L105" s="108" t="str"/>
      <x:c r="M105" s="108" t="str">
        <x:v>no</x:v>
      </x:c>
      <x:c r="N105" s="108" t="str"/>
    </x:row>
    <x:row r="106" ht="34" customHeight="1">
      <x:c r="A106" s="108" t="str">
        <x:v>REQ-0104</x:v>
      </x:c>
      <x:c r="B106" s="108" t="str">
        <x:v>APP-010</x:v>
      </x:c>
      <x:c r="C106" s="108" t="str">
        <x:v>MULTI</x:v>
      </x:c>
      <x:c r="D106" s="108" t="str">
        <x:v>door_panel_weight_max</x:v>
      </x:c>
      <x:c r="E106" s="108" t="str"/>
      <x:c r="F106" s="108" t="str">
        <x:v>8.5</x:v>
      </x:c>
      <x:c r="G106" s="108" t="str">
        <x:v>kg</x:v>
      </x:c>
      <x:c r="H106" s="108" t="str"/>
      <x:c r="I106" s="108" t="str">
        <x:v>official_exact_model</x:v>
      </x:c>
      <x:c r="J106" s="108" t="str">
        <x:v>confirmed</x:v>
      </x:c>
      <x:c r="K106" s="108" t="str">
        <x:v>APP-DW-INSTALL-001</x:v>
      </x:c>
      <x:c r="L106" s="108" t="str"/>
      <x:c r="M106" s="108" t="str">
        <x:v>no</x:v>
      </x:c>
      <x:c r="N106" s="108" t="str"/>
    </x:row>
    <x:row r="107" ht="34" customHeight="1">
      <x:c r="A107" s="108" t="str">
        <x:v>REQ-0105</x:v>
      </x:c>
      <x:c r="B107" s="108" t="str">
        <x:v>APP-011</x:v>
      </x:c>
      <x:c r="C107" s="108" t="str">
        <x:v>ELEC</x:v>
      </x:c>
      <x:c r="D107" s="108" t="str">
        <x:v>rated_power</x:v>
      </x:c>
      <x:c r="E107" s="108" t="str"/>
      <x:c r="F107" s="108" t="str">
        <x:v>3400</x:v>
      </x:c>
      <x:c r="G107" s="108" t="str">
        <x:v>W</x:v>
      </x:c>
      <x:c r="H107" s="108" t="str"/>
      <x:c r="I107" s="108" t="str">
        <x:v>user_input</x:v>
      </x:c>
      <x:c r="J107" s="108" t="str">
        <x:v>confirmed</x:v>
      </x:c>
      <x:c r="K107" s="108" t="str"/>
      <x:c r="L107" s="108" t="str"/>
      <x:c r="M107" s="108" t="str">
        <x:v>no</x:v>
      </x:c>
      <x:c r="N107" s="108" t="str"/>
    </x:row>
    <x:row r="108" ht="34" customHeight="1">
      <x:c r="A108" s="108" t="str">
        <x:v>REQ-0106</x:v>
      </x:c>
      <x:c r="B108" s="108" t="str">
        <x:v>APP-011</x:v>
      </x:c>
      <x:c r="C108" s="108" t="str">
        <x:v>ELEC</x:v>
      </x:c>
      <x:c r="D108" s="108" t="str">
        <x:v>simultaneous_group</x:v>
      </x:c>
      <x:c r="E108" s="108" t="str">
        <x:v>COOKING-A</x:v>
      </x:c>
      <x:c r="F108" s="108" t="str"/>
      <x:c r="G108" s="108" t="str"/>
      <x:c r="H108" s="108" t="str"/>
      <x:c r="I108" s="108" t="str">
        <x:v>user_input</x:v>
      </x:c>
      <x:c r="J108" s="108" t="str">
        <x:v>confirmed</x:v>
      </x:c>
      <x:c r="K108" s="108" t="str"/>
      <x:c r="L108" s="108" t="str"/>
      <x:c r="M108" s="108" t="str">
        <x:v>no</x:v>
      </x:c>
      <x:c r="N108" s="108" t="str"/>
    </x:row>
    <x:row r="109" ht="34" customHeight="1">
      <x:c r="A109" s="108" t="str">
        <x:v>REQ-0107</x:v>
      </x:c>
      <x:c r="B109" s="108" t="str">
        <x:v>APP-011</x:v>
      </x:c>
      <x:c r="C109" s="108" t="str">
        <x:v>PLUM</x:v>
      </x:c>
      <x:c r="D109" s="108" t="str">
        <x:v>water_required</x:v>
      </x:c>
      <x:c r="E109" s="108" t="str">
        <x:v>no</x:v>
      </x:c>
      <x:c r="F109" s="108" t="str"/>
      <x:c r="G109" s="108" t="str"/>
      <x:c r="H109" s="108" t="str"/>
      <x:c r="I109" s="108" t="str">
        <x:v>user_input</x:v>
      </x:c>
      <x:c r="J109" s="108" t="str">
        <x:v>confirmed</x:v>
      </x:c>
      <x:c r="K109" s="108" t="str"/>
      <x:c r="L109" s="108" t="str"/>
      <x:c r="M109" s="108" t="str">
        <x:v>no</x:v>
      </x:c>
      <x:c r="N109" s="108" t="str"/>
    </x:row>
    <x:row r="110" ht="34" customHeight="1">
      <x:c r="A110" s="108" t="str">
        <x:v>REQ-0108</x:v>
      </x:c>
      <x:c r="B110" s="108" t="str">
        <x:v>APP-011</x:v>
      </x:c>
      <x:c r="C110" s="108" t="str">
        <x:v>PLUM</x:v>
      </x:c>
      <x:c r="D110" s="108" t="str">
        <x:v>drain_required</x:v>
      </x:c>
      <x:c r="E110" s="108" t="str">
        <x:v>no</x:v>
      </x:c>
      <x:c r="F110" s="108" t="str"/>
      <x:c r="G110" s="108" t="str"/>
      <x:c r="H110" s="108" t="str"/>
      <x:c r="I110" s="108" t="str">
        <x:v>user_input</x:v>
      </x:c>
      <x:c r="J110" s="108" t="str">
        <x:v>confirmed</x:v>
      </x:c>
      <x:c r="K110" s="108" t="str"/>
      <x:c r="L110" s="108" t="str"/>
      <x:c r="M110" s="108" t="str">
        <x:v>no</x:v>
      </x:c>
      <x:c r="N110" s="108" t="str"/>
    </x:row>
    <x:row r="111" ht="34" customHeight="1">
      <x:c r="A111" s="108" t="str">
        <x:v>REQ-0109</x:v>
      </x:c>
      <x:c r="B111" s="108" t="str">
        <x:v>APP-011</x:v>
      </x:c>
      <x:c r="C111" s="108" t="str">
        <x:v>GAS</x:v>
      </x:c>
      <x:c r="D111" s="108" t="str">
        <x:v>gas_required</x:v>
      </x:c>
      <x:c r="E111" s="108" t="str">
        <x:v>no</x:v>
      </x:c>
      <x:c r="F111" s="108" t="str"/>
      <x:c r="G111" s="108" t="str"/>
      <x:c r="H111" s="108" t="str"/>
      <x:c r="I111" s="108" t="str">
        <x:v>user_input</x:v>
      </x:c>
      <x:c r="J111" s="108" t="str">
        <x:v>confirmed</x:v>
      </x:c>
      <x:c r="K111" s="108" t="str"/>
      <x:c r="L111" s="108" t="str"/>
      <x:c r="M111" s="108" t="str">
        <x:v>no</x:v>
      </x:c>
      <x:c r="N111" s="108" t="str"/>
    </x:row>
    <x:row r="112" ht="34" customHeight="1">
      <x:c r="A112" s="108" t="str">
        <x:v>REQ-0110</x:v>
      </x:c>
      <x:c r="B112" s="108" t="str">
        <x:v>APP-011</x:v>
      </x:c>
      <x:c r="C112" s="108" t="str">
        <x:v>HVAC</x:v>
      </x:c>
      <x:c r="D112" s="108" t="str">
        <x:v>ventilation_required</x:v>
      </x:c>
      <x:c r="E112" s="108" t="str">
        <x:v>yes</x:v>
      </x:c>
      <x:c r="F112" s="108" t="str"/>
      <x:c r="G112" s="108" t="str"/>
      <x:c r="H112" s="108" t="str"/>
      <x:c r="I112" s="108" t="str">
        <x:v>user_input</x:v>
      </x:c>
      <x:c r="J112" s="108" t="str">
        <x:v>confirmed</x:v>
      </x:c>
      <x:c r="K112" s="108" t="str"/>
      <x:c r="L112" s="108" t="str"/>
      <x:c r="M112" s="108" t="str">
        <x:v>no</x:v>
      </x:c>
      <x:c r="N112" s="108" t="str"/>
    </x:row>
    <x:row r="113" ht="34" customHeight="1">
      <x:c r="A113" s="108" t="str">
        <x:v>REQ-0111</x:v>
      </x:c>
      <x:c r="B113" s="108" t="str">
        <x:v>APP-011</x:v>
      </x:c>
      <x:c r="C113" s="108" t="str">
        <x:v>MULTI</x:v>
      </x:c>
      <x:c r="D113" s="108" t="str">
        <x:v>rated_voltage</x:v>
      </x:c>
      <x:c r="E113" s="108" t="str"/>
      <x:c r="F113" s="108" t="str">
        <x:v>220</x:v>
      </x:c>
      <x:c r="G113" s="108" t="str">
        <x:v>V</x:v>
      </x:c>
      <x:c r="H113" s="108" t="str"/>
      <x:c r="I113" s="108" t="str">
        <x:v>official_exact_model</x:v>
      </x:c>
      <x:c r="J113" s="108" t="str">
        <x:v>confirmed</x:v>
      </x:c>
      <x:c r="K113" s="108" t="str">
        <x:v>APP-011-OFFICIAL-001</x:v>
      </x:c>
      <x:c r="L113" s="108" t="str"/>
      <x:c r="M113" s="108" t="str">
        <x:v>no</x:v>
      </x:c>
      <x:c r="N113" s="108" t="str"/>
    </x:row>
    <x:row r="114" ht="34" customHeight="1">
      <x:c r="A114" s="108" t="str">
        <x:v>REQ-0112</x:v>
      </x:c>
      <x:c r="B114" s="108" t="str">
        <x:v>APP-011</x:v>
      </x:c>
      <x:c r="C114" s="108" t="str">
        <x:v>MULTI</x:v>
      </x:c>
      <x:c r="D114" s="108" t="str">
        <x:v>frequency</x:v>
      </x:c>
      <x:c r="E114" s="108" t="str"/>
      <x:c r="F114" s="108" t="str">
        <x:v>50</x:v>
      </x:c>
      <x:c r="G114" s="108" t="str">
        <x:v>Hz</x:v>
      </x:c>
      <x:c r="H114" s="108" t="str"/>
      <x:c r="I114" s="108" t="str">
        <x:v>official_exact_model</x:v>
      </x:c>
      <x:c r="J114" s="108" t="str">
        <x:v>confirmed</x:v>
      </x:c>
      <x:c r="K114" s="108" t="str">
        <x:v>APP-011-OFFICIAL-001</x:v>
      </x:c>
      <x:c r="L114" s="108" t="str"/>
      <x:c r="M114" s="108" t="str">
        <x:v>no</x:v>
      </x:c>
      <x:c r="N114" s="108" t="str"/>
    </x:row>
    <x:row r="115" ht="34" customHeight="1">
      <x:c r="A115" s="108" t="str">
        <x:v>REQ-0113</x:v>
      </x:c>
      <x:c r="B115" s="108" t="str">
        <x:v>APP-011</x:v>
      </x:c>
      <x:c r="C115" s="108" t="str">
        <x:v>MULTI</x:v>
      </x:c>
      <x:c r="D115" s="108" t="str">
        <x:v>rated_current</x:v>
      </x:c>
      <x:c r="E115" s="108" t="str"/>
      <x:c r="F115" s="108" t="str">
        <x:v>16</x:v>
      </x:c>
      <x:c r="G115" s="108" t="str">
        <x:v>A</x:v>
      </x:c>
      <x:c r="H115" s="108" t="str"/>
      <x:c r="I115" s="108" t="str">
        <x:v>official_exact_model</x:v>
      </x:c>
      <x:c r="J115" s="108" t="str">
        <x:v>confirmed</x:v>
      </x:c>
      <x:c r="K115" s="108" t="str">
        <x:v>APP-011-OFFICIAL-001</x:v>
      </x:c>
      <x:c r="L115" s="108" t="str"/>
      <x:c r="M115" s="108" t="str">
        <x:v>no</x:v>
      </x:c>
      <x:c r="N115" s="108" t="str"/>
    </x:row>
    <x:row r="116" ht="34" customHeight="1">
      <x:c r="A116" s="108" t="str">
        <x:v>REQ-0114</x:v>
      </x:c>
      <x:c r="B116" s="108" t="str">
        <x:v>APP-011</x:v>
      </x:c>
      <x:c r="C116" s="108" t="str">
        <x:v>MULTI</x:v>
      </x:c>
      <x:c r="D116" s="108" t="str">
        <x:v>product_height</x:v>
      </x:c>
      <x:c r="E116" s="108" t="str"/>
      <x:c r="F116" s="108" t="str">
        <x:v>595</x:v>
      </x:c>
      <x:c r="G116" s="108" t="str">
        <x:v>mm</x:v>
      </x:c>
      <x:c r="H116" s="108" t="str"/>
      <x:c r="I116" s="108" t="str">
        <x:v>official_exact_model</x:v>
      </x:c>
      <x:c r="J116" s="108" t="str">
        <x:v>confirmed</x:v>
      </x:c>
      <x:c r="K116" s="108" t="str">
        <x:v>APP-011-OFFICIAL-001</x:v>
      </x:c>
      <x:c r="L116" s="108" t="str"/>
      <x:c r="M116" s="108" t="str">
        <x:v>no</x:v>
      </x:c>
      <x:c r="N116" s="108" t="str"/>
    </x:row>
    <x:row r="117" ht="34" customHeight="1">
      <x:c r="A117" s="108" t="str">
        <x:v>REQ-0115</x:v>
      </x:c>
      <x:c r="B117" s="108" t="str">
        <x:v>APP-011</x:v>
      </x:c>
      <x:c r="C117" s="108" t="str">
        <x:v>MULTI</x:v>
      </x:c>
      <x:c r="D117" s="108" t="str">
        <x:v>product_width</x:v>
      </x:c>
      <x:c r="E117" s="108" t="str"/>
      <x:c r="F117" s="108" t="str">
        <x:v>594</x:v>
      </x:c>
      <x:c r="G117" s="108" t="str">
        <x:v>mm</x:v>
      </x:c>
      <x:c r="H117" s="108" t="str"/>
      <x:c r="I117" s="108" t="str">
        <x:v>official_exact_model</x:v>
      </x:c>
      <x:c r="J117" s="108" t="str">
        <x:v>confirmed</x:v>
      </x:c>
      <x:c r="K117" s="108" t="str">
        <x:v>APP-011-OFFICIAL-001</x:v>
      </x:c>
      <x:c r="L117" s="108" t="str"/>
      <x:c r="M117" s="108" t="str">
        <x:v>no</x:v>
      </x:c>
      <x:c r="N117" s="108" t="str"/>
    </x:row>
    <x:row r="118" ht="34" customHeight="1">
      <x:c r="A118" s="108" t="str">
        <x:v>REQ-0116</x:v>
      </x:c>
      <x:c r="B118" s="108" t="str">
        <x:v>APP-011</x:v>
      </x:c>
      <x:c r="C118" s="108" t="str">
        <x:v>MULTI</x:v>
      </x:c>
      <x:c r="D118" s="108" t="str">
        <x:v>product_depth</x:v>
      </x:c>
      <x:c r="E118" s="108" t="str"/>
      <x:c r="F118" s="108" t="str">
        <x:v>548</x:v>
      </x:c>
      <x:c r="G118" s="108" t="str">
        <x:v>mm</x:v>
      </x:c>
      <x:c r="H118" s="108" t="str"/>
      <x:c r="I118" s="108" t="str">
        <x:v>official_exact_model</x:v>
      </x:c>
      <x:c r="J118" s="108" t="str">
        <x:v>confirmed</x:v>
      </x:c>
      <x:c r="K118" s="108" t="str">
        <x:v>APP-011-OFFICIAL-001</x:v>
      </x:c>
      <x:c r="L118" s="108" t="str"/>
      <x:c r="M118" s="108" t="str">
        <x:v>no</x:v>
      </x:c>
      <x:c r="N118" s="108" t="str"/>
    </x:row>
    <x:row r="119" ht="34" customHeight="1">
      <x:c r="A119" s="108" t="str">
        <x:v>REQ-0117</x:v>
      </x:c>
      <x:c r="B119" s="108" t="str">
        <x:v>APP-011</x:v>
      </x:c>
      <x:c r="C119" s="108" t="str">
        <x:v>MULTI</x:v>
      </x:c>
      <x:c r="D119" s="108" t="str">
        <x:v>niche_width_min</x:v>
      </x:c>
      <x:c r="E119" s="108" t="str"/>
      <x:c r="F119" s="108" t="str">
        <x:v>560</x:v>
      </x:c>
      <x:c r="G119" s="108" t="str">
        <x:v>mm</x:v>
      </x:c>
      <x:c r="H119" s="108" t="str"/>
      <x:c r="I119" s="108" t="str">
        <x:v>official_exact_model</x:v>
      </x:c>
      <x:c r="J119" s="108" t="str">
        <x:v>confirmed</x:v>
      </x:c>
      <x:c r="K119" s="108" t="str">
        <x:v>APP-011-OFFICIAL-001</x:v>
      </x:c>
      <x:c r="L119" s="108" t="str"/>
      <x:c r="M119" s="108" t="str">
        <x:v>no</x:v>
      </x:c>
      <x:c r="N119" s="108" t="str"/>
    </x:row>
    <x:row r="120" ht="34" customHeight="1">
      <x:c r="A120" s="108" t="str">
        <x:v>REQ-0118</x:v>
      </x:c>
      <x:c r="B120" s="108" t="str">
        <x:v>APP-011</x:v>
      </x:c>
      <x:c r="C120" s="108" t="str">
        <x:v>MULTI</x:v>
      </x:c>
      <x:c r="D120" s="108" t="str">
        <x:v>niche_width_max</x:v>
      </x:c>
      <x:c r="E120" s="108" t="str"/>
      <x:c r="F120" s="108" t="str">
        <x:v>568</x:v>
      </x:c>
      <x:c r="G120" s="108" t="str">
        <x:v>mm</x:v>
      </x:c>
      <x:c r="H120" s="108" t="str"/>
      <x:c r="I120" s="108" t="str">
        <x:v>official_exact_model</x:v>
      </x:c>
      <x:c r="J120" s="108" t="str">
        <x:v>confirmed</x:v>
      </x:c>
      <x:c r="K120" s="108" t="str">
        <x:v>APP-011-OFFICIAL-001</x:v>
      </x:c>
      <x:c r="L120" s="108" t="str"/>
      <x:c r="M120" s="108" t="str">
        <x:v>no</x:v>
      </x:c>
      <x:c r="N120" s="108" t="str"/>
    </x:row>
    <x:row r="121" ht="34" customHeight="1">
      <x:c r="A121" s="108" t="str">
        <x:v>REQ-0119</x:v>
      </x:c>
      <x:c r="B121" s="108" t="str">
        <x:v>APP-011</x:v>
      </x:c>
      <x:c r="C121" s="108" t="str">
        <x:v>MULTI</x:v>
      </x:c>
      <x:c r="D121" s="108" t="str">
        <x:v>niche_height_min</x:v>
      </x:c>
      <x:c r="E121" s="108" t="str"/>
      <x:c r="F121" s="108" t="str">
        <x:v>585</x:v>
      </x:c>
      <x:c r="G121" s="108" t="str">
        <x:v>mm</x:v>
      </x:c>
      <x:c r="H121" s="108" t="str"/>
      <x:c r="I121" s="108" t="str">
        <x:v>official_exact_model</x:v>
      </x:c>
      <x:c r="J121" s="108" t="str">
        <x:v>confirmed</x:v>
      </x:c>
      <x:c r="K121" s="108" t="str">
        <x:v>APP-011-OFFICIAL-001</x:v>
      </x:c>
      <x:c r="L121" s="108" t="str"/>
      <x:c r="M121" s="108" t="str">
        <x:v>no</x:v>
      </x:c>
      <x:c r="N121" s="108" t="str"/>
    </x:row>
    <x:row r="122" ht="34" customHeight="1">
      <x:c r="A122" s="108" t="str">
        <x:v>REQ-0120</x:v>
      </x:c>
      <x:c r="B122" s="108" t="str">
        <x:v>APP-011</x:v>
      </x:c>
      <x:c r="C122" s="108" t="str">
        <x:v>MULTI</x:v>
      </x:c>
      <x:c r="D122" s="108" t="str">
        <x:v>niche_height_max</x:v>
      </x:c>
      <x:c r="E122" s="108" t="str"/>
      <x:c r="F122" s="108" t="str">
        <x:v>595</x:v>
      </x:c>
      <x:c r="G122" s="108" t="str">
        <x:v>mm</x:v>
      </x:c>
      <x:c r="H122" s="108" t="str"/>
      <x:c r="I122" s="108" t="str">
        <x:v>official_exact_model</x:v>
      </x:c>
      <x:c r="J122" s="108" t="str">
        <x:v>confirmed</x:v>
      </x:c>
      <x:c r="K122" s="108" t="str">
        <x:v>APP-011-OFFICIAL-001</x:v>
      </x:c>
      <x:c r="L122" s="108" t="str"/>
      <x:c r="M122" s="108" t="str">
        <x:v>no</x:v>
      </x:c>
      <x:c r="N122" s="108" t="str"/>
    </x:row>
    <x:row r="123" ht="34" customHeight="1">
      <x:c r="A123" s="108" t="str">
        <x:v>REQ-0121</x:v>
      </x:c>
      <x:c r="B123" s="108" t="str">
        <x:v>APP-011</x:v>
      </x:c>
      <x:c r="C123" s="108" t="str">
        <x:v>MULTI</x:v>
      </x:c>
      <x:c r="D123" s="108" t="str">
        <x:v>niche_depth_min</x:v>
      </x:c>
      <x:c r="E123" s="108" t="str"/>
      <x:c r="F123" s="108" t="str">
        <x:v>550</x:v>
      </x:c>
      <x:c r="G123" s="108" t="str">
        <x:v>mm</x:v>
      </x:c>
      <x:c r="H123" s="108" t="str"/>
      <x:c r="I123" s="108" t="str">
        <x:v>official_exact_model</x:v>
      </x:c>
      <x:c r="J123" s="108" t="str">
        <x:v>confirmed</x:v>
      </x:c>
      <x:c r="K123" s="108" t="str">
        <x:v>APP-011-OFFICIAL-001</x:v>
      </x:c>
      <x:c r="L123" s="108" t="str"/>
      <x:c r="M123" s="108" t="str">
        <x:v>no</x:v>
      </x:c>
      <x:c r="N123" s="108" t="str"/>
    </x:row>
    <x:row r="124" ht="34" customHeight="1">
      <x:c r="A124" s="108" t="str">
        <x:v>REQ-0122</x:v>
      </x:c>
      <x:c r="B124" s="108" t="str">
        <x:v>APP-011</x:v>
      </x:c>
      <x:c r="C124" s="108" t="str">
        <x:v>MULTI</x:v>
      </x:c>
      <x:c r="D124" s="108" t="str">
        <x:v>ventilation_area_min</x:v>
      </x:c>
      <x:c r="E124" s="108" t="str"/>
      <x:c r="F124" s="108" t="str">
        <x:v>200</x:v>
      </x:c>
      <x:c r="G124" s="108" t="str">
        <x:v>cm2</x:v>
      </x:c>
      <x:c r="H124" s="108" t="str"/>
      <x:c r="I124" s="108" t="str">
        <x:v>official_exact_model</x:v>
      </x:c>
      <x:c r="J124" s="108" t="str">
        <x:v>confirmed</x:v>
      </x:c>
      <x:c r="K124" s="108" t="str">
        <x:v>APP-011-OFFICIAL-001</x:v>
      </x:c>
      <x:c r="L124" s="108" t="str"/>
      <x:c r="M124" s="108" t="str">
        <x:v>no</x:v>
      </x:c>
      <x:c r="N124" s="108" t="str"/>
    </x:row>
    <x:row r="125" ht="34" customHeight="1">
      <x:c r="A125" s="108" t="str">
        <x:v>REQ-0123</x:v>
      </x:c>
      <x:c r="B125" s="108" t="str">
        <x:v>APP-012</x:v>
      </x:c>
      <x:c r="C125" s="108" t="str">
        <x:v>ELEC</x:v>
      </x:c>
      <x:c r="D125" s="108" t="str">
        <x:v>rated_power</x:v>
      </x:c>
      <x:c r="E125" s="108" t="str"/>
      <x:c r="F125" s="108" t="str">
        <x:v>0</x:v>
      </x:c>
      <x:c r="G125" s="108" t="str">
        <x:v>W</x:v>
      </x:c>
      <x:c r="H125" s="108" t="str"/>
      <x:c r="I125" s="108" t="str">
        <x:v>user_input</x:v>
      </x:c>
      <x:c r="J125" s="108" t="str">
        <x:v>confirmed</x:v>
      </x:c>
      <x:c r="K125" s="108" t="str"/>
      <x:c r="L125" s="108" t="str"/>
      <x:c r="M125" s="108" t="str">
        <x:v>no</x:v>
      </x:c>
      <x:c r="N125" s="108" t="str"/>
    </x:row>
    <x:row r="126" ht="34" customHeight="1">
      <x:c r="A126" s="108" t="str">
        <x:v>REQ-0124</x:v>
      </x:c>
      <x:c r="B126" s="108" t="str">
        <x:v>APP-012</x:v>
      </x:c>
      <x:c r="C126" s="108" t="str">
        <x:v>ELEC</x:v>
      </x:c>
      <x:c r="D126" s="108" t="str">
        <x:v>simultaneous_group</x:v>
      </x:c>
      <x:c r="E126" s="108" t="str">
        <x:v>COOKING-B</x:v>
      </x:c>
      <x:c r="F126" s="108" t="str"/>
      <x:c r="G126" s="108" t="str"/>
      <x:c r="H126" s="108" t="str"/>
      <x:c r="I126" s="108" t="str">
        <x:v>user_input</x:v>
      </x:c>
      <x:c r="J126" s="108" t="str">
        <x:v>confirmed</x:v>
      </x:c>
      <x:c r="K126" s="108" t="str"/>
      <x:c r="L126" s="108" t="str"/>
      <x:c r="M126" s="108" t="str">
        <x:v>no</x:v>
      </x:c>
      <x:c r="N126" s="108" t="str"/>
    </x:row>
    <x:row r="127" ht="34" customHeight="1">
      <x:c r="A127" s="108" t="str">
        <x:v>REQ-0125</x:v>
      </x:c>
      <x:c r="B127" s="108" t="str">
        <x:v>APP-012</x:v>
      </x:c>
      <x:c r="C127" s="108" t="str">
        <x:v>PLUM</x:v>
      </x:c>
      <x:c r="D127" s="108" t="str">
        <x:v>water_required</x:v>
      </x:c>
      <x:c r="E127" s="108" t="str">
        <x:v>no</x:v>
      </x:c>
      <x:c r="F127" s="108" t="str"/>
      <x:c r="G127" s="108" t="str"/>
      <x:c r="H127" s="108" t="str"/>
      <x:c r="I127" s="108" t="str">
        <x:v>user_input</x:v>
      </x:c>
      <x:c r="J127" s="108" t="str">
        <x:v>confirmed</x:v>
      </x:c>
      <x:c r="K127" s="108" t="str"/>
      <x:c r="L127" s="108" t="str"/>
      <x:c r="M127" s="108" t="str">
        <x:v>no</x:v>
      </x:c>
      <x:c r="N127" s="108" t="str"/>
    </x:row>
    <x:row r="128" ht="34" customHeight="1">
      <x:c r="A128" s="108" t="str">
        <x:v>REQ-0126</x:v>
      </x:c>
      <x:c r="B128" s="108" t="str">
        <x:v>APP-012</x:v>
      </x:c>
      <x:c r="C128" s="108" t="str">
        <x:v>PLUM</x:v>
      </x:c>
      <x:c r="D128" s="108" t="str">
        <x:v>drain_required</x:v>
      </x:c>
      <x:c r="E128" s="108" t="str">
        <x:v>no</x:v>
      </x:c>
      <x:c r="F128" s="108" t="str"/>
      <x:c r="G128" s="108" t="str"/>
      <x:c r="H128" s="108" t="str"/>
      <x:c r="I128" s="108" t="str">
        <x:v>user_input</x:v>
      </x:c>
      <x:c r="J128" s="108" t="str">
        <x:v>confirmed</x:v>
      </x:c>
      <x:c r="K128" s="108" t="str"/>
      <x:c r="L128" s="108" t="str"/>
      <x:c r="M128" s="108" t="str">
        <x:v>no</x:v>
      </x:c>
      <x:c r="N128" s="108" t="str"/>
    </x:row>
    <x:row r="129" ht="34" customHeight="1">
      <x:c r="A129" s="108" t="str">
        <x:v>REQ-0127</x:v>
      </x:c>
      <x:c r="B129" s="108" t="str">
        <x:v>APP-012</x:v>
      </x:c>
      <x:c r="C129" s="108" t="str">
        <x:v>GAS</x:v>
      </x:c>
      <x:c r="D129" s="108" t="str">
        <x:v>gas_required</x:v>
      </x:c>
      <x:c r="E129" s="108" t="str">
        <x:v>yes</x:v>
      </x:c>
      <x:c r="F129" s="108" t="str"/>
      <x:c r="G129" s="108" t="str"/>
      <x:c r="H129" s="108" t="str"/>
      <x:c r="I129" s="108" t="str">
        <x:v>user_input</x:v>
      </x:c>
      <x:c r="J129" s="108" t="str">
        <x:v>confirmed</x:v>
      </x:c>
      <x:c r="K129" s="108" t="str"/>
      <x:c r="L129" s="108" t="str"/>
      <x:c r="M129" s="108" t="str">
        <x:v>no</x:v>
      </x:c>
      <x:c r="N129" s="108" t="str"/>
    </x:row>
    <x:row r="130" ht="34" customHeight="1">
      <x:c r="A130" s="108" t="str">
        <x:v>REQ-0128</x:v>
      </x:c>
      <x:c r="B130" s="108" t="str">
        <x:v>APP-012</x:v>
      </x:c>
      <x:c r="C130" s="108" t="str">
        <x:v>HVAC</x:v>
      </x:c>
      <x:c r="D130" s="108" t="str">
        <x:v>ventilation_required</x:v>
      </x:c>
      <x:c r="E130" s="108" t="str">
        <x:v>yes</x:v>
      </x:c>
      <x:c r="F130" s="108" t="str"/>
      <x:c r="G130" s="108" t="str"/>
      <x:c r="H130" s="108" t="str"/>
      <x:c r="I130" s="108" t="str">
        <x:v>user_input</x:v>
      </x:c>
      <x:c r="J130" s="108" t="str">
        <x:v>confirmed</x:v>
      </x:c>
      <x:c r="K130" s="108" t="str"/>
      <x:c r="L130" s="108" t="str"/>
      <x:c r="M130" s="108" t="str">
        <x:v>no</x:v>
      </x:c>
      <x:c r="N130" s="108" t="str"/>
    </x:row>
    <x:row r="131" ht="34" customHeight="1">
      <x:c r="A131" s="108" t="str">
        <x:v>REQ-0129</x:v>
      </x:c>
      <x:c r="B131" s="108" t="str">
        <x:v>APP-012</x:v>
      </x:c>
      <x:c r="C131" s="108" t="str">
        <x:v>MULTI</x:v>
      </x:c>
      <x:c r="D131" s="108" t="str">
        <x:v>gas_type</x:v>
      </x:c>
      <x:c r="E131" s="108" t="str">
        <x:v>天然气12T</x:v>
      </x:c>
      <x:c r="F131" s="108" t="str"/>
      <x:c r="G131" s="108" t="str"/>
      <x:c r="H131" s="108" t="str"/>
      <x:c r="I131" s="108" t="str">
        <x:v>official_exact_model</x:v>
      </x:c>
      <x:c r="J131" s="108" t="str">
        <x:v>confirmed</x:v>
      </x:c>
      <x:c r="K131" s="108" t="str">
        <x:v>APP-012-PHOTO-001</x:v>
      </x:c>
      <x:c r="L131" s="108" t="str"/>
      <x:c r="M131" s="108" t="str">
        <x:v>no</x:v>
      </x:c>
      <x:c r="N131" s="108" t="str"/>
    </x:row>
    <x:row r="132" ht="34" customHeight="1">
      <x:c r="A132" s="108" t="str">
        <x:v>REQ-0130</x:v>
      </x:c>
      <x:c r="B132" s="108" t="str">
        <x:v>APP-012</x:v>
      </x:c>
      <x:c r="C132" s="108" t="str">
        <x:v>MULTI</x:v>
      </x:c>
      <x:c r="D132" s="108" t="str">
        <x:v>gas_pressure</x:v>
      </x:c>
      <x:c r="E132" s="108" t="str"/>
      <x:c r="F132" s="108" t="str">
        <x:v>2.0</x:v>
      </x:c>
      <x:c r="G132" s="108" t="str">
        <x:v>kPa</x:v>
      </x:c>
      <x:c r="H132" s="108" t="str"/>
      <x:c r="I132" s="108" t="str">
        <x:v>official_exact_model</x:v>
      </x:c>
      <x:c r="J132" s="108" t="str">
        <x:v>confirmed</x:v>
      </x:c>
      <x:c r="K132" s="108" t="str">
        <x:v>APP-012-PHOTO-001</x:v>
      </x:c>
      <x:c r="L132" s="108" t="str"/>
      <x:c r="M132" s="108" t="str">
        <x:v>no</x:v>
      </x:c>
      <x:c r="N132" s="108" t="str"/>
    </x:row>
    <x:row r="133" ht="34" customHeight="1">
      <x:c r="A133" s="108" t="str">
        <x:v>REQ-0131</x:v>
      </x:c>
      <x:c r="B133" s="108" t="str">
        <x:v>APP-012</x:v>
      </x:c>
      <x:c r="C133" s="108" t="str">
        <x:v>MULTI</x:v>
      </x:c>
      <x:c r="D133" s="108" t="str">
        <x:v>product_width</x:v>
      </x:c>
      <x:c r="E133" s="108" t="str"/>
      <x:c r="F133" s="108" t="str">
        <x:v>920</x:v>
      </x:c>
      <x:c r="G133" s="108" t="str">
        <x:v>mm</x:v>
      </x:c>
      <x:c r="H133" s="108" t="str"/>
      <x:c r="I133" s="108" t="str">
        <x:v>official_exact_model</x:v>
      </x:c>
      <x:c r="J133" s="108" t="str">
        <x:v>confirmed</x:v>
      </x:c>
      <x:c r="K133" s="108" t="str">
        <x:v>APP-012-OFFICIAL-001</x:v>
      </x:c>
      <x:c r="L133" s="108" t="str"/>
      <x:c r="M133" s="108" t="str">
        <x:v>no</x:v>
      </x:c>
      <x:c r="N133" s="108" t="str"/>
    </x:row>
    <x:row r="134" ht="34" customHeight="1">
      <x:c r="A134" s="108" t="str">
        <x:v>REQ-0132</x:v>
      </x:c>
      <x:c r="B134" s="108" t="str">
        <x:v>APP-012</x:v>
      </x:c>
      <x:c r="C134" s="108" t="str">
        <x:v>MULTI</x:v>
      </x:c>
      <x:c r="D134" s="108" t="str">
        <x:v>product_depth</x:v>
      </x:c>
      <x:c r="E134" s="108" t="str"/>
      <x:c r="F134" s="108" t="str">
        <x:v>500</x:v>
      </x:c>
      <x:c r="G134" s="108" t="str">
        <x:v>mm</x:v>
      </x:c>
      <x:c r="H134" s="108" t="str"/>
      <x:c r="I134" s="108" t="str">
        <x:v>official_exact_model</x:v>
      </x:c>
      <x:c r="J134" s="108" t="str">
        <x:v>confirmed</x:v>
      </x:c>
      <x:c r="K134" s="108" t="str">
        <x:v>APP-012-OFFICIAL-001</x:v>
      </x:c>
      <x:c r="L134" s="108" t="str"/>
      <x:c r="M134" s="108" t="str">
        <x:v>no</x:v>
      </x:c>
      <x:c r="N134" s="108" t="str"/>
    </x:row>
    <x:row r="135" ht="34" customHeight="1">
      <x:c r="A135" s="108" t="str">
        <x:v>REQ-0133</x:v>
      </x:c>
      <x:c r="B135" s="108" t="str">
        <x:v>APP-012</x:v>
      </x:c>
      <x:c r="C135" s="108" t="str">
        <x:v>MULTI</x:v>
      </x:c>
      <x:c r="D135" s="108" t="str">
        <x:v>product_height</x:v>
      </x:c>
      <x:c r="E135" s="108" t="str"/>
      <x:c r="F135" s="108" t="str">
        <x:v>150</x:v>
      </x:c>
      <x:c r="G135" s="108" t="str">
        <x:v>mm</x:v>
      </x:c>
      <x:c r="H135" s="108" t="str"/>
      <x:c r="I135" s="108" t="str">
        <x:v>official_exact_model</x:v>
      </x:c>
      <x:c r="J135" s="108" t="str">
        <x:v>confirmed</x:v>
      </x:c>
      <x:c r="K135" s="108" t="str">
        <x:v>APP-012-OFFICIAL-001</x:v>
      </x:c>
      <x:c r="L135" s="108" t="str"/>
      <x:c r="M135" s="108" t="str">
        <x:v>no</x:v>
      </x:c>
      <x:c r="N135" s="108" t="str"/>
    </x:row>
    <x:row r="136" ht="34" customHeight="1">
      <x:c r="A136" s="108" t="str">
        <x:v>REQ-0134</x:v>
      </x:c>
      <x:c r="B136" s="108" t="str">
        <x:v>APP-012</x:v>
      </x:c>
      <x:c r="C136" s="108" t="str">
        <x:v>MULTI</x:v>
      </x:c>
      <x:c r="D136" s="108" t="str">
        <x:v>worktop_cutout_width</x:v>
      </x:c>
      <x:c r="E136" s="108" t="str"/>
      <x:c r="F136" s="108" t="str">
        <x:v>880</x:v>
      </x:c>
      <x:c r="G136" s="108" t="str">
        <x:v>mm</x:v>
      </x:c>
      <x:c r="H136" s="108" t="str"/>
      <x:c r="I136" s="108" t="str">
        <x:v>official_exact_model</x:v>
      </x:c>
      <x:c r="J136" s="108" t="str">
        <x:v>confirmed</x:v>
      </x:c>
      <x:c r="K136" s="108" t="str">
        <x:v>APP-012-OFFICIAL-001</x:v>
      </x:c>
      <x:c r="L136" s="108" t="str"/>
      <x:c r="M136" s="108" t="str">
        <x:v>no</x:v>
      </x:c>
      <x:c r="N136" s="108" t="str"/>
    </x:row>
    <x:row r="137" ht="34" customHeight="1">
      <x:c r="A137" s="108" t="str">
        <x:v>REQ-0135</x:v>
      </x:c>
      <x:c r="B137" s="108" t="str">
        <x:v>APP-012</x:v>
      </x:c>
      <x:c r="C137" s="108" t="str">
        <x:v>MULTI</x:v>
      </x:c>
      <x:c r="D137" s="108" t="str">
        <x:v>worktop_cutout_depth</x:v>
      </x:c>
      <x:c r="E137" s="108" t="str"/>
      <x:c r="F137" s="108" t="str">
        <x:v>455</x:v>
      </x:c>
      <x:c r="G137" s="108" t="str">
        <x:v>mm</x:v>
      </x:c>
      <x:c r="H137" s="108" t="str"/>
      <x:c r="I137" s="108" t="str">
        <x:v>official_exact_model</x:v>
      </x:c>
      <x:c r="J137" s="108" t="str">
        <x:v>confirmed</x:v>
      </x:c>
      <x:c r="K137" s="108" t="str">
        <x:v>APP-012-OFFICIAL-001</x:v>
      </x:c>
      <x:c r="L137" s="108" t="str"/>
      <x:c r="M137" s="108" t="str">
        <x:v>no</x:v>
      </x:c>
      <x:c r="N137" s="108" t="str"/>
    </x:row>
    <x:row r="138" ht="34" customHeight="1">
      <x:c r="A138" s="108" t="str">
        <x:v>REQ-0136</x:v>
      </x:c>
      <x:c r="B138" s="108" t="str">
        <x:v>APP-012</x:v>
      </x:c>
      <x:c r="C138" s="108" t="str">
        <x:v>MULTI</x:v>
      </x:c>
      <x:c r="D138" s="108" t="str">
        <x:v>worktop_cutout_corner_radius</x:v>
      </x:c>
      <x:c r="E138" s="108" t="str"/>
      <x:c r="F138" s="108" t="str">
        <x:v>15</x:v>
      </x:c>
      <x:c r="G138" s="108" t="str">
        <x:v>mm</x:v>
      </x:c>
      <x:c r="H138" s="108" t="str"/>
      <x:c r="I138" s="108" t="str">
        <x:v>official_exact_model</x:v>
      </x:c>
      <x:c r="J138" s="108" t="str">
        <x:v>confirmed</x:v>
      </x:c>
      <x:c r="K138" s="108" t="str">
        <x:v>APP-012-OFFICIAL-001</x:v>
      </x:c>
      <x:c r="L138" s="108" t="str"/>
      <x:c r="M138" s="108" t="str">
        <x:v>no</x:v>
      </x:c>
      <x:c r="N138" s="108" t="str"/>
    </x:row>
    <x:row r="139" ht="34" customHeight="1">
      <x:c r="A139" s="108" t="str">
        <x:v>REQ-0137</x:v>
      </x:c>
      <x:c r="B139" s="108" t="str">
        <x:v>APP-012</x:v>
      </x:c>
      <x:c r="C139" s="108" t="str">
        <x:v>MULTI</x:v>
      </x:c>
      <x:c r="D139" s="108" t="str">
        <x:v>cabinet_ventilation_area_min</x:v>
      </x:c>
      <x:c r="E139" s="108" t="str"/>
      <x:c r="F139" s="108" t="str">
        <x:v>100</x:v>
      </x:c>
      <x:c r="G139" s="108" t="str">
        <x:v>cm2</x:v>
      </x:c>
      <x:c r="H139" s="108" t="str"/>
      <x:c r="I139" s="108" t="str">
        <x:v>official_exact_model</x:v>
      </x:c>
      <x:c r="J139" s="108" t="str">
        <x:v>confirmed</x:v>
      </x:c>
      <x:c r="K139" s="108" t="str">
        <x:v>APP-012-OFFICIAL-001</x:v>
      </x:c>
      <x:c r="L139" s="108" t="str"/>
      <x:c r="M139" s="108" t="str">
        <x:v>no</x:v>
      </x:c>
      <x:c r="N139" s="108" t="str"/>
    </x:row>
    <x:row r="140" ht="34" customHeight="1">
      <x:c r="A140" s="108" t="str">
        <x:v>REQ-0138</x:v>
      </x:c>
      <x:c r="B140" s="108" t="str">
        <x:v>APP-012</x:v>
      </x:c>
      <x:c r="C140" s="108" t="str">
        <x:v>MULTI</x:v>
      </x:c>
      <x:c r="D140" s="108" t="str">
        <x:v>clearance_below_min</x:v>
      </x:c>
      <x:c r="E140" s="108" t="str"/>
      <x:c r="F140" s="108" t="str">
        <x:v>100</x:v>
      </x:c>
      <x:c r="G140" s="108" t="str">
        <x:v>mm</x:v>
      </x:c>
      <x:c r="H140" s="108" t="str"/>
      <x:c r="I140" s="108" t="str">
        <x:v>official_exact_model</x:v>
      </x:c>
      <x:c r="J140" s="108" t="str">
        <x:v>confirmed</x:v>
      </x:c>
      <x:c r="K140" s="108" t="str">
        <x:v>APP-012-OFFICIAL-001</x:v>
      </x:c>
      <x:c r="L140" s="108" t="str"/>
      <x:c r="M140" s="108" t="str">
        <x:v>no</x:v>
      </x:c>
      <x:c r="N140" s="108" t="str"/>
    </x:row>
    <x:row r="141" ht="34" customHeight="1">
      <x:c r="A141" s="108" t="str">
        <x:v>REQ-0139</x:v>
      </x:c>
      <x:c r="B141" s="108" t="str">
        <x:v>APP-012</x:v>
      </x:c>
      <x:c r="C141" s="108" t="str">
        <x:v>MULTI</x:v>
      </x:c>
      <x:c r="D141" s="108" t="str">
        <x:v>separator_to_worktop_min</x:v>
      </x:c>
      <x:c r="E141" s="108" t="str"/>
      <x:c r="F141" s="108" t="str">
        <x:v>120</x:v>
      </x:c>
      <x:c r="G141" s="108" t="str">
        <x:v>mm</x:v>
      </x:c>
      <x:c r="H141" s="108" t="str"/>
      <x:c r="I141" s="108" t="str">
        <x:v>official_exact_model</x:v>
      </x:c>
      <x:c r="J141" s="108" t="str">
        <x:v>confirmed</x:v>
      </x:c>
      <x:c r="K141" s="108" t="str">
        <x:v>APP-012-OFFICIAL-001</x:v>
      </x:c>
      <x:c r="L141" s="108" t="str"/>
      <x:c r="M141" s="108" t="str">
        <x:v>no</x:v>
      </x:c>
      <x:c r="N141" s="108" t="str"/>
    </x:row>
    <x:row r="142" ht="34" customHeight="1">
      <x:c r="A142" s="108" t="str">
        <x:v>REQ-0140</x:v>
      </x:c>
      <x:c r="B142" s="108" t="str">
        <x:v>APP-013</x:v>
      </x:c>
      <x:c r="C142" s="108" t="str">
        <x:v>ELEC</x:v>
      </x:c>
      <x:c r="D142" s="108" t="str">
        <x:v>rated_power</x:v>
      </x:c>
      <x:c r="E142" s="108" t="str"/>
      <x:c r="F142" s="108" t="str">
        <x:v>385</x:v>
      </x:c>
      <x:c r="G142" s="108" t="str">
        <x:v>W</x:v>
      </x:c>
      <x:c r="H142" s="108" t="str"/>
      <x:c r="I142" s="108" t="str">
        <x:v>user_input</x:v>
      </x:c>
      <x:c r="J142" s="108" t="str">
        <x:v>confirmed</x:v>
      </x:c>
      <x:c r="K142" s="108" t="str"/>
      <x:c r="L142" s="108" t="str"/>
      <x:c r="M142" s="108" t="str">
        <x:v>no</x:v>
      </x:c>
      <x:c r="N142" s="108" t="str"/>
    </x:row>
    <x:row r="143" ht="34" customHeight="1">
      <x:c r="A143" s="108" t="str">
        <x:v>REQ-0141</x:v>
      </x:c>
      <x:c r="B143" s="108" t="str">
        <x:v>APP-013</x:v>
      </x:c>
      <x:c r="C143" s="108" t="str">
        <x:v>ELEC</x:v>
      </x:c>
      <x:c r="D143" s="108" t="str">
        <x:v>simultaneous_group</x:v>
      </x:c>
      <x:c r="E143" s="108" t="str">
        <x:v>COOKING-B</x:v>
      </x:c>
      <x:c r="F143" s="108" t="str"/>
      <x:c r="G143" s="108" t="str"/>
      <x:c r="H143" s="108" t="str"/>
      <x:c r="I143" s="108" t="str">
        <x:v>user_input</x:v>
      </x:c>
      <x:c r="J143" s="108" t="str">
        <x:v>confirmed</x:v>
      </x:c>
      <x:c r="K143" s="108" t="str"/>
      <x:c r="L143" s="108" t="str"/>
      <x:c r="M143" s="108" t="str">
        <x:v>no</x:v>
      </x:c>
      <x:c r="N143" s="108" t="str"/>
    </x:row>
    <x:row r="144" ht="34" customHeight="1">
      <x:c r="A144" s="108" t="str">
        <x:v>REQ-0142</x:v>
      </x:c>
      <x:c r="B144" s="108" t="str">
        <x:v>APP-013</x:v>
      </x:c>
      <x:c r="C144" s="108" t="str">
        <x:v>PLUM</x:v>
      </x:c>
      <x:c r="D144" s="108" t="str">
        <x:v>water_required</x:v>
      </x:c>
      <x:c r="E144" s="108" t="str">
        <x:v>no</x:v>
      </x:c>
      <x:c r="F144" s="108" t="str"/>
      <x:c r="G144" s="108" t="str"/>
      <x:c r="H144" s="108" t="str"/>
      <x:c r="I144" s="108" t="str">
        <x:v>user_input</x:v>
      </x:c>
      <x:c r="J144" s="108" t="str">
        <x:v>confirmed</x:v>
      </x:c>
      <x:c r="K144" s="108" t="str"/>
      <x:c r="L144" s="108" t="str"/>
      <x:c r="M144" s="108" t="str">
        <x:v>no</x:v>
      </x:c>
      <x:c r="N144" s="108" t="str"/>
    </x:row>
    <x:row r="145" ht="34" customHeight="1">
      <x:c r="A145" s="108" t="str">
        <x:v>REQ-0143</x:v>
      </x:c>
      <x:c r="B145" s="108" t="str">
        <x:v>APP-013</x:v>
      </x:c>
      <x:c r="C145" s="108" t="str">
        <x:v>PLUM</x:v>
      </x:c>
      <x:c r="D145" s="108" t="str">
        <x:v>drain_required</x:v>
      </x:c>
      <x:c r="E145" s="108" t="str">
        <x:v>no</x:v>
      </x:c>
      <x:c r="F145" s="108" t="str"/>
      <x:c r="G145" s="108" t="str"/>
      <x:c r="H145" s="108" t="str"/>
      <x:c r="I145" s="108" t="str">
        <x:v>user_input</x:v>
      </x:c>
      <x:c r="J145" s="108" t="str">
        <x:v>confirmed</x:v>
      </x:c>
      <x:c r="K145" s="108" t="str"/>
      <x:c r="L145" s="108" t="str"/>
      <x:c r="M145" s="108" t="str">
        <x:v>no</x:v>
      </x:c>
      <x:c r="N145" s="108" t="str"/>
    </x:row>
    <x:row r="146" ht="34" customHeight="1">
      <x:c r="A146" s="108" t="str">
        <x:v>REQ-0144</x:v>
      </x:c>
      <x:c r="B146" s="108" t="str">
        <x:v>APP-013</x:v>
      </x:c>
      <x:c r="C146" s="108" t="str">
        <x:v>GAS</x:v>
      </x:c>
      <x:c r="D146" s="108" t="str">
        <x:v>gas_required</x:v>
      </x:c>
      <x:c r="E146" s="108" t="str">
        <x:v>no</x:v>
      </x:c>
      <x:c r="F146" s="108" t="str"/>
      <x:c r="G146" s="108" t="str"/>
      <x:c r="H146" s="108" t="str"/>
      <x:c r="I146" s="108" t="str">
        <x:v>user_input</x:v>
      </x:c>
      <x:c r="J146" s="108" t="str">
        <x:v>confirmed</x:v>
      </x:c>
      <x:c r="K146" s="108" t="str"/>
      <x:c r="L146" s="108" t="str"/>
      <x:c r="M146" s="108" t="str">
        <x:v>no</x:v>
      </x:c>
      <x:c r="N146" s="108" t="str"/>
    </x:row>
    <x:row r="147" ht="34" customHeight="1">
      <x:c r="A147" s="108" t="str">
        <x:v>REQ-0145</x:v>
      </x:c>
      <x:c r="B147" s="108" t="str">
        <x:v>APP-013</x:v>
      </x:c>
      <x:c r="C147" s="108" t="str">
        <x:v>HVAC</x:v>
      </x:c>
      <x:c r="D147" s="108" t="str">
        <x:v>ventilation_required</x:v>
      </x:c>
      <x:c r="E147" s="108" t="str">
        <x:v>yes</x:v>
      </x:c>
      <x:c r="F147" s="108" t="str"/>
      <x:c r="G147" s="108" t="str"/>
      <x:c r="H147" s="108" t="str"/>
      <x:c r="I147" s="108" t="str">
        <x:v>user_input</x:v>
      </x:c>
      <x:c r="J147" s="108" t="str">
        <x:v>confirmed</x:v>
      </x:c>
      <x:c r="K147" s="108" t="str"/>
      <x:c r="L147" s="108" t="str"/>
      <x:c r="M147" s="108" t="str">
        <x:v>no</x:v>
      </x:c>
      <x:c r="N147" s="108" t="str"/>
    </x:row>
    <x:row r="148" ht="34" customHeight="1">
      <x:c r="A148" s="108" t="str">
        <x:v>REQ-0146</x:v>
      </x:c>
      <x:c r="B148" s="108" t="str">
        <x:v>APP-013</x:v>
      </x:c>
      <x:c r="C148" s="108" t="str">
        <x:v>MULTI</x:v>
      </x:c>
      <x:c r="D148" s="108" t="str">
        <x:v>rated_voltage</x:v>
      </x:c>
      <x:c r="E148" s="108" t="str"/>
      <x:c r="F148" s="108" t="str">
        <x:v>220</x:v>
      </x:c>
      <x:c r="G148" s="108" t="str">
        <x:v>V</x:v>
      </x:c>
      <x:c r="H148" s="108" t="str"/>
      <x:c r="I148" s="108" t="str">
        <x:v>official_exact_model</x:v>
      </x:c>
      <x:c r="J148" s="108" t="str">
        <x:v>confirmed</x:v>
      </x:c>
      <x:c r="K148" s="108" t="str">
        <x:v>APP-013-OFFICIAL-001</x:v>
      </x:c>
      <x:c r="L148" s="108" t="str"/>
      <x:c r="M148" s="108" t="str">
        <x:v>no</x:v>
      </x:c>
      <x:c r="N148" s="108" t="str"/>
    </x:row>
    <x:row r="149" ht="34" customHeight="1">
      <x:c r="A149" s="108" t="str">
        <x:v>REQ-0147</x:v>
      </x:c>
      <x:c r="B149" s="108" t="str">
        <x:v>APP-013</x:v>
      </x:c>
      <x:c r="C149" s="108" t="str">
        <x:v>MULTI</x:v>
      </x:c>
      <x:c r="D149" s="108" t="str">
        <x:v>frequency</x:v>
      </x:c>
      <x:c r="E149" s="108" t="str"/>
      <x:c r="F149" s="108" t="str">
        <x:v>50</x:v>
      </x:c>
      <x:c r="G149" s="108" t="str">
        <x:v>Hz</x:v>
      </x:c>
      <x:c r="H149" s="108" t="str"/>
      <x:c r="I149" s="108" t="str">
        <x:v>official_exact_model</x:v>
      </x:c>
      <x:c r="J149" s="108" t="str">
        <x:v>confirmed</x:v>
      </x:c>
      <x:c r="K149" s="108" t="str">
        <x:v>APP-013-OFFICIAL-001</x:v>
      </x:c>
      <x:c r="L149" s="108" t="str"/>
      <x:c r="M149" s="108" t="str">
        <x:v>no</x:v>
      </x:c>
      <x:c r="N149" s="108" t="str"/>
    </x:row>
    <x:row r="150" ht="34" customHeight="1">
      <x:c r="A150" s="108" t="str">
        <x:v>REQ-0148</x:v>
      </x:c>
      <x:c r="B150" s="108" t="str">
        <x:v>APP-013</x:v>
      </x:c>
      <x:c r="C150" s="108" t="str">
        <x:v>MULTI</x:v>
      </x:c>
      <x:c r="D150" s="108" t="str">
        <x:v>product_width</x:v>
      </x:c>
      <x:c r="E150" s="108" t="str"/>
      <x:c r="F150" s="108" t="str">
        <x:v>895</x:v>
      </x:c>
      <x:c r="G150" s="108" t="str">
        <x:v>mm</x:v>
      </x:c>
      <x:c r="H150" s="108" t="str"/>
      <x:c r="I150" s="108" t="str">
        <x:v>official_exact_model</x:v>
      </x:c>
      <x:c r="J150" s="108" t="str">
        <x:v>confirmed</x:v>
      </x:c>
      <x:c r="K150" s="108" t="str">
        <x:v>APP-013-OFFICIAL-001</x:v>
      </x:c>
      <x:c r="L150" s="108" t="str"/>
      <x:c r="M150" s="108" t="str">
        <x:v>no</x:v>
      </x:c>
      <x:c r="N150" s="108" t="str"/>
    </x:row>
    <x:row r="151" ht="34" customHeight="1">
      <x:c r="A151" s="108" t="str">
        <x:v>REQ-0149</x:v>
      </x:c>
      <x:c r="B151" s="108" t="str">
        <x:v>APP-013</x:v>
      </x:c>
      <x:c r="C151" s="108" t="str">
        <x:v>MULTI</x:v>
      </x:c>
      <x:c r="D151" s="108" t="str">
        <x:v>product_depth</x:v>
      </x:c>
      <x:c r="E151" s="108" t="str"/>
      <x:c r="F151" s="108" t="str">
        <x:v>345</x:v>
      </x:c>
      <x:c r="G151" s="108" t="str">
        <x:v>mm</x:v>
      </x:c>
      <x:c r="H151" s="108" t="str"/>
      <x:c r="I151" s="108" t="str">
        <x:v>official_exact_model</x:v>
      </x:c>
      <x:c r="J151" s="108" t="str">
        <x:v>confirmed</x:v>
      </x:c>
      <x:c r="K151" s="108" t="str">
        <x:v>APP-013-OFFICIAL-001</x:v>
      </x:c>
      <x:c r="L151" s="108" t="str"/>
      <x:c r="M151" s="108" t="str">
        <x:v>no</x:v>
      </x:c>
      <x:c r="N151" s="108" t="str"/>
    </x:row>
    <x:row r="152" ht="34" customHeight="1">
      <x:c r="A152" s="108" t="str">
        <x:v>REQ-0150</x:v>
      </x:c>
      <x:c r="B152" s="108" t="str">
        <x:v>APP-013</x:v>
      </x:c>
      <x:c r="C152" s="108" t="str">
        <x:v>MULTI</x:v>
      </x:c>
      <x:c r="D152" s="108" t="str">
        <x:v>product_height</x:v>
      </x:c>
      <x:c r="E152" s="108" t="str"/>
      <x:c r="F152" s="108" t="str">
        <x:v>873</x:v>
      </x:c>
      <x:c r="G152" s="108" t="str">
        <x:v>mm</x:v>
      </x:c>
      <x:c r="H152" s="108" t="str"/>
      <x:c r="I152" s="108" t="str">
        <x:v>official_exact_model</x:v>
      </x:c>
      <x:c r="J152" s="108" t="str">
        <x:v>confirmed</x:v>
      </x:c>
      <x:c r="K152" s="108" t="str">
        <x:v>APP-013-OFFICIAL-001</x:v>
      </x:c>
      <x:c r="L152" s="108" t="str"/>
      <x:c r="M152" s="108" t="str">
        <x:v>no</x:v>
      </x:c>
      <x:c r="N152" s="108" t="str"/>
    </x:row>
    <x:row r="153" ht="34" customHeight="1">
      <x:c r="A153" s="108" t="str">
        <x:v>REQ-0151</x:v>
      </x:c>
      <x:c r="B153" s="108" t="str">
        <x:v>APP-013</x:v>
      </x:c>
      <x:c r="C153" s="108" t="str">
        <x:v>MULTI</x:v>
      </x:c>
      <x:c r="D153" s="108" t="str">
        <x:v>duct_inner_diameter_min</x:v>
      </x:c>
      <x:c r="E153" s="108" t="str"/>
      <x:c r="F153" s="108" t="str">
        <x:v>160</x:v>
      </x:c>
      <x:c r="G153" s="108" t="str">
        <x:v>mm</x:v>
      </x:c>
      <x:c r="H153" s="108" t="str"/>
      <x:c r="I153" s="108" t="str">
        <x:v>official_exact_model</x:v>
      </x:c>
      <x:c r="J153" s="108" t="str">
        <x:v>confirmed</x:v>
      </x:c>
      <x:c r="K153" s="108" t="str">
        <x:v>APP-013-OFFICIAL-001</x:v>
      </x:c>
      <x:c r="L153" s="108" t="str"/>
      <x:c r="M153" s="108" t="str">
        <x:v>no</x:v>
      </x:c>
      <x:c r="N153" s="108" t="str"/>
    </x:row>
    <x:row r="154" ht="34" customHeight="1">
      <x:c r="A154" s="108" t="str">
        <x:v>REQ-0152</x:v>
      </x:c>
      <x:c r="B154" s="108" t="str">
        <x:v>APP-013</x:v>
      </x:c>
      <x:c r="C154" s="108" t="str">
        <x:v>MULTI</x:v>
      </x:c>
      <x:c r="D154" s="108" t="str">
        <x:v>wall_opening_diameter_candidate</x:v>
      </x:c>
      <x:c r="E154" s="108" t="str"/>
      <x:c r="F154" s="108" t="str">
        <x:v>180</x:v>
      </x:c>
      <x:c r="G154" s="108" t="str">
        <x:v>mm</x:v>
      </x:c>
      <x:c r="H154" s="108" t="str"/>
      <x:c r="I154" s="108" t="str">
        <x:v>official_exact_model</x:v>
      </x:c>
      <x:c r="J154" s="108" t="str">
        <x:v>confirmed</x:v>
      </x:c>
      <x:c r="K154" s="108" t="str">
        <x:v>APP-013-OFFICIAL-001</x:v>
      </x:c>
      <x:c r="L154" s="108" t="str"/>
      <x:c r="M154" s="108" t="str">
        <x:v>no</x:v>
      </x:c>
      <x:c r="N154" s="108" t="str"/>
    </x:row>
    <x:row r="155" ht="34" customHeight="1">
      <x:c r="A155" s="108" t="str">
        <x:v>REQ-0153</x:v>
      </x:c>
      <x:c r="B155" s="108" t="str">
        <x:v>APP-013</x:v>
      </x:c>
      <x:c r="C155" s="108" t="str">
        <x:v>MULTI</x:v>
      </x:c>
      <x:c r="D155" s="108" t="str">
        <x:v>ceiling_opening_diameter</x:v>
      </x:c>
      <x:c r="E155" s="108" t="str"/>
      <x:c r="F155" s="108" t="str">
        <x:v>190</x:v>
      </x:c>
      <x:c r="G155" s="108" t="str">
        <x:v>mm</x:v>
      </x:c>
      <x:c r="H155" s="108" t="str"/>
      <x:c r="I155" s="108" t="str">
        <x:v>official_exact_model</x:v>
      </x:c>
      <x:c r="J155" s="108" t="str">
        <x:v>confirmed</x:v>
      </x:c>
      <x:c r="K155" s="108" t="str">
        <x:v>APP-013-OFFICIAL-001</x:v>
      </x:c>
      <x:c r="L155" s="108" t="str"/>
      <x:c r="M155" s="108" t="str">
        <x:v>no</x:v>
      </x:c>
      <x:c r="N155" s="108" t="str"/>
    </x:row>
    <x:row r="156" ht="34" customHeight="1">
      <x:c r="A156" s="108" t="str">
        <x:v>REQ-0154</x:v>
      </x:c>
      <x:c r="B156" s="108" t="str">
        <x:v>APP-013</x:v>
      </x:c>
      <x:c r="C156" s="108" t="str">
        <x:v>MULTI</x:v>
      </x:c>
      <x:c r="D156" s="108" t="str">
        <x:v>access_opening_width</x:v>
      </x:c>
      <x:c r="E156" s="108" t="str"/>
      <x:c r="F156" s="108" t="str">
        <x:v>400</x:v>
      </x:c>
      <x:c r="G156" s="108" t="str">
        <x:v>mm</x:v>
      </x:c>
      <x:c r="H156" s="108" t="str"/>
      <x:c r="I156" s="108" t="str">
        <x:v>official_exact_model</x:v>
      </x:c>
      <x:c r="J156" s="108" t="str">
        <x:v>confirmed</x:v>
      </x:c>
      <x:c r="K156" s="108" t="str">
        <x:v>APP-013-OFFICIAL-001</x:v>
      </x:c>
      <x:c r="L156" s="108" t="str"/>
      <x:c r="M156" s="108" t="str">
        <x:v>no</x:v>
      </x:c>
      <x:c r="N156" s="108" t="str"/>
    </x:row>
    <x:row r="157" ht="34" customHeight="1">
      <x:c r="A157" s="108" t="str">
        <x:v>REQ-0155</x:v>
      </x:c>
      <x:c r="B157" s="108" t="str">
        <x:v>APP-013</x:v>
      </x:c>
      <x:c r="C157" s="108" t="str">
        <x:v>MULTI</x:v>
      </x:c>
      <x:c r="D157" s="108" t="str">
        <x:v>access_opening_height</x:v>
      </x:c>
      <x:c r="E157" s="108" t="str"/>
      <x:c r="F157" s="108" t="str">
        <x:v>400</x:v>
      </x:c>
      <x:c r="G157" s="108" t="str">
        <x:v>mm</x:v>
      </x:c>
      <x:c r="H157" s="108" t="str"/>
      <x:c r="I157" s="108" t="str">
        <x:v>official_exact_model</x:v>
      </x:c>
      <x:c r="J157" s="108" t="str">
        <x:v>confirmed</x:v>
      </x:c>
      <x:c r="K157" s="108" t="str">
        <x:v>APP-013-OFFICIAL-001</x:v>
      </x:c>
      <x:c r="L157" s="108" t="str"/>
      <x:c r="M157" s="108" t="str">
        <x:v>no</x:v>
      </x:c>
      <x:c r="N157" s="108" t="str"/>
    </x:row>
    <x:row r="158" ht="34" customHeight="1">
      <x:c r="A158" s="108" t="str">
        <x:v>REQ-0156</x:v>
      </x:c>
      <x:c r="B158" s="108" t="str">
        <x:v>APP-013</x:v>
      </x:c>
      <x:c r="C158" s="108" t="str">
        <x:v>MULTI</x:v>
      </x:c>
      <x:c r="D158" s="108" t="str">
        <x:v>clearance_to_gas_hob_pan_support_min</x:v>
      </x:c>
      <x:c r="E158" s="108" t="str"/>
      <x:c r="F158" s="108" t="str">
        <x:v>650</x:v>
      </x:c>
      <x:c r="G158" s="108" t="str">
        <x:v>mm</x:v>
      </x:c>
      <x:c r="H158" s="108" t="str"/>
      <x:c r="I158" s="108" t="str">
        <x:v>official_exact_model</x:v>
      </x:c>
      <x:c r="J158" s="108" t="str">
        <x:v>confirmed</x:v>
      </x:c>
      <x:c r="K158" s="108" t="str">
        <x:v>APP-013-OFFICIAL-001</x:v>
      </x:c>
      <x:c r="L158" s="108" t="str"/>
      <x:c r="M158" s="108" t="str">
        <x:v>no</x:v>
      </x:c>
      <x:c r="N158" s="108" t="str"/>
    </x:row>
    <x:row r="159" ht="34" customHeight="1">
      <x:c r="A159" s="108" t="str">
        <x:v>REQ-0157</x:v>
      </x:c>
      <x:c r="B159" s="108" t="str">
        <x:v>APP-014</x:v>
      </x:c>
      <x:c r="C159" s="108" t="str">
        <x:v>ELEC</x:v>
      </x:c>
      <x:c r="D159" s="108" t="str">
        <x:v>rated_power</x:v>
      </x:c>
      <x:c r="E159" s="108" t="str"/>
      <x:c r="F159" s="108" t="str"/>
      <x:c r="G159" s="108" t="str">
        <x:v>W</x:v>
      </x:c>
      <x:c r="H159" s="108" t="str"/>
      <x:c r="I159" s="108" t="str">
        <x:v>user_input</x:v>
      </x:c>
      <x:c r="J159" s="108" t="str">
        <x:v>pending</x:v>
      </x:c>
      <x:c r="K159" s="108" t="str"/>
      <x:c r="L159" s="108" t="str"/>
      <x:c r="M159" s="108" t="str">
        <x:v>yes</x:v>
      </x:c>
      <x:c r="N159" s="108" t="str"/>
    </x:row>
    <x:row r="160" ht="34" customHeight="1">
      <x:c r="A160" s="108" t="str">
        <x:v>REQ-0158</x:v>
      </x:c>
      <x:c r="B160" s="108" t="str">
        <x:v>APP-014</x:v>
      </x:c>
      <x:c r="C160" s="108" t="str">
        <x:v>ELEC</x:v>
      </x:c>
      <x:c r="D160" s="108" t="str">
        <x:v>simultaneous_group</x:v>
      </x:c>
      <x:c r="E160" s="108" t="str">
        <x:v>WATER-A</x:v>
      </x:c>
      <x:c r="F160" s="108" t="str"/>
      <x:c r="G160" s="108" t="str"/>
      <x:c r="H160" s="108" t="str"/>
      <x:c r="I160" s="108" t="str">
        <x:v>user_input</x:v>
      </x:c>
      <x:c r="J160" s="108" t="str">
        <x:v>confirmed</x:v>
      </x:c>
      <x:c r="K160" s="108" t="str"/>
      <x:c r="L160" s="108" t="str"/>
      <x:c r="M160" s="108" t="str">
        <x:v>no</x:v>
      </x:c>
      <x:c r="N160" s="108" t="str"/>
    </x:row>
    <x:row r="161" ht="34" customHeight="1">
      <x:c r="A161" s="108" t="str">
        <x:v>REQ-0159</x:v>
      </x:c>
      <x:c r="B161" s="108" t="str">
        <x:v>APP-014</x:v>
      </x:c>
      <x:c r="C161" s="108" t="str">
        <x:v>PLUM</x:v>
      </x:c>
      <x:c r="D161" s="108" t="str">
        <x:v>water_required</x:v>
      </x:c>
      <x:c r="E161" s="108" t="str">
        <x:v>yes</x:v>
      </x:c>
      <x:c r="F161" s="108" t="str"/>
      <x:c r="G161" s="108" t="str"/>
      <x:c r="H161" s="108" t="str"/>
      <x:c r="I161" s="108" t="str">
        <x:v>user_input</x:v>
      </x:c>
      <x:c r="J161" s="108" t="str">
        <x:v>confirmed</x:v>
      </x:c>
      <x:c r="K161" s="108" t="str"/>
      <x:c r="L161" s="108" t="str"/>
      <x:c r="M161" s="108" t="str">
        <x:v>no</x:v>
      </x:c>
      <x:c r="N161" s="108" t="str"/>
    </x:row>
    <x:row r="162" ht="34" customHeight="1">
      <x:c r="A162" s="108" t="str">
        <x:v>REQ-0160</x:v>
      </x:c>
      <x:c r="B162" s="108" t="str">
        <x:v>APP-014</x:v>
      </x:c>
      <x:c r="C162" s="108" t="str">
        <x:v>PLUM</x:v>
      </x:c>
      <x:c r="D162" s="108" t="str">
        <x:v>drain_required</x:v>
      </x:c>
      <x:c r="E162" s="108" t="str">
        <x:v>model_dependent</x:v>
      </x:c>
      <x:c r="F162" s="108" t="str"/>
      <x:c r="G162" s="108" t="str"/>
      <x:c r="H162" s="108" t="str"/>
      <x:c r="I162" s="108" t="str">
        <x:v>user_input</x:v>
      </x:c>
      <x:c r="J162" s="108" t="str">
        <x:v>pending</x:v>
      </x:c>
      <x:c r="K162" s="108" t="str"/>
      <x:c r="L162" s="108" t="str"/>
      <x:c r="M162" s="108" t="str">
        <x:v>yes</x:v>
      </x:c>
      <x:c r="N162" s="108" t="str"/>
    </x:row>
    <x:row r="163" ht="34" customHeight="1">
      <x:c r="A163" s="108" t="str">
        <x:v>REQ-0161</x:v>
      </x:c>
      <x:c r="B163" s="108" t="str">
        <x:v>APP-014</x:v>
      </x:c>
      <x:c r="C163" s="108" t="str">
        <x:v>GAS</x:v>
      </x:c>
      <x:c r="D163" s="108" t="str">
        <x:v>gas_required</x:v>
      </x:c>
      <x:c r="E163" s="108" t="str">
        <x:v>no</x:v>
      </x:c>
      <x:c r="F163" s="108" t="str"/>
      <x:c r="G163" s="108" t="str"/>
      <x:c r="H163" s="108" t="str"/>
      <x:c r="I163" s="108" t="str">
        <x:v>user_input</x:v>
      </x:c>
      <x:c r="J163" s="108" t="str">
        <x:v>confirmed</x:v>
      </x:c>
      <x:c r="K163" s="108" t="str"/>
      <x:c r="L163" s="108" t="str"/>
      <x:c r="M163" s="108" t="str">
        <x:v>no</x:v>
      </x:c>
      <x:c r="N163" s="108" t="str"/>
    </x:row>
    <x:row r="164" ht="34" customHeight="1">
      <x:c r="A164" s="108" t="str">
        <x:v>REQ-0162</x:v>
      </x:c>
      <x:c r="B164" s="108" t="str">
        <x:v>APP-014</x:v>
      </x:c>
      <x:c r="C164" s="108" t="str">
        <x:v>HVAC</x:v>
      </x:c>
      <x:c r="D164" s="108" t="str">
        <x:v>ventilation_required</x:v>
      </x:c>
      <x:c r="E164" s="108" t="str">
        <x:v>no</x:v>
      </x:c>
      <x:c r="F164" s="108" t="str"/>
      <x:c r="G164" s="108" t="str"/>
      <x:c r="H164" s="108" t="str"/>
      <x:c r="I164" s="108" t="str">
        <x:v>user_input</x:v>
      </x:c>
      <x:c r="J164" s="108" t="str">
        <x:v>confirmed</x:v>
      </x:c>
      <x:c r="K164" s="108" t="str"/>
      <x:c r="L164" s="108" t="str"/>
      <x:c r="M164" s="108" t="str">
        <x:v>no</x:v>
      </x:c>
      <x:c r="N164" s="108" t="str"/>
    </x:row>
    <x:row r="165" ht="34" customHeight="1">
      <x:c r="A165" s="108" t="str">
        <x:v>REQ-0163</x:v>
      </x:c>
      <x:c r="B165" s="108" t="str">
        <x:v>APP-015</x:v>
      </x:c>
      <x:c r="C165" s="108" t="str">
        <x:v>ELEC</x:v>
      </x:c>
      <x:c r="D165" s="108" t="str">
        <x:v>rated_power</x:v>
      </x:c>
      <x:c r="E165" s="108" t="str"/>
      <x:c r="F165" s="108" t="str"/>
      <x:c r="G165" s="108" t="str">
        <x:v>W</x:v>
      </x:c>
      <x:c r="H165" s="108" t="str"/>
      <x:c r="I165" s="108" t="str">
        <x:v>user_input</x:v>
      </x:c>
      <x:c r="J165" s="108" t="str">
        <x:v>pending</x:v>
      </x:c>
      <x:c r="K165" s="108" t="str"/>
      <x:c r="L165" s="108" t="str"/>
      <x:c r="M165" s="108" t="str">
        <x:v>yes</x:v>
      </x:c>
      <x:c r="N165" s="108" t="str"/>
    </x:row>
    <x:row r="166" ht="34" customHeight="1">
      <x:c r="A166" s="108" t="str">
        <x:v>REQ-0164</x:v>
      </x:c>
      <x:c r="B166" s="108" t="str">
        <x:v>APP-015</x:v>
      </x:c>
      <x:c r="C166" s="108" t="str">
        <x:v>ELEC</x:v>
      </x:c>
      <x:c r="D166" s="108" t="str">
        <x:v>simultaneous_group</x:v>
      </x:c>
      <x:c r="E166" s="108" t="str">
        <x:v>WATER-A</x:v>
      </x:c>
      <x:c r="F166" s="108" t="str"/>
      <x:c r="G166" s="108" t="str"/>
      <x:c r="H166" s="108" t="str"/>
      <x:c r="I166" s="108" t="str">
        <x:v>user_input</x:v>
      </x:c>
      <x:c r="J166" s="108" t="str">
        <x:v>confirmed</x:v>
      </x:c>
      <x:c r="K166" s="108" t="str"/>
      <x:c r="L166" s="108" t="str"/>
      <x:c r="M166" s="108" t="str">
        <x:v>no</x:v>
      </x:c>
      <x:c r="N166" s="108" t="str"/>
    </x:row>
    <x:row r="167" ht="34" customHeight="1">
      <x:c r="A167" s="108" t="str">
        <x:v>REQ-0165</x:v>
      </x:c>
      <x:c r="B167" s="108" t="str">
        <x:v>APP-015</x:v>
      </x:c>
      <x:c r="C167" s="108" t="str">
        <x:v>PLUM</x:v>
      </x:c>
      <x:c r="D167" s="108" t="str">
        <x:v>water_required</x:v>
      </x:c>
      <x:c r="E167" s="108" t="str">
        <x:v>yes</x:v>
      </x:c>
      <x:c r="F167" s="108" t="str"/>
      <x:c r="G167" s="108" t="str"/>
      <x:c r="H167" s="108" t="str"/>
      <x:c r="I167" s="108" t="str">
        <x:v>user_input</x:v>
      </x:c>
      <x:c r="J167" s="108" t="str">
        <x:v>confirmed</x:v>
      </x:c>
      <x:c r="K167" s="108" t="str"/>
      <x:c r="L167" s="108" t="str"/>
      <x:c r="M167" s="108" t="str">
        <x:v>no</x:v>
      </x:c>
      <x:c r="N167" s="108" t="str"/>
    </x:row>
    <x:row r="168" ht="34" customHeight="1">
      <x:c r="A168" s="108" t="str">
        <x:v>REQ-0166</x:v>
      </x:c>
      <x:c r="B168" s="108" t="str">
        <x:v>APP-015</x:v>
      </x:c>
      <x:c r="C168" s="108" t="str">
        <x:v>PLUM</x:v>
      </x:c>
      <x:c r="D168" s="108" t="str">
        <x:v>drain_required</x:v>
      </x:c>
      <x:c r="E168" s="108" t="str">
        <x:v>model_dependent</x:v>
      </x:c>
      <x:c r="F168" s="108" t="str"/>
      <x:c r="G168" s="108" t="str"/>
      <x:c r="H168" s="108" t="str"/>
      <x:c r="I168" s="108" t="str">
        <x:v>user_input</x:v>
      </x:c>
      <x:c r="J168" s="108" t="str">
        <x:v>pending</x:v>
      </x:c>
      <x:c r="K168" s="108" t="str"/>
      <x:c r="L168" s="108" t="str"/>
      <x:c r="M168" s="108" t="str">
        <x:v>yes</x:v>
      </x:c>
      <x:c r="N168" s="108" t="str"/>
    </x:row>
    <x:row r="169" ht="34" customHeight="1">
      <x:c r="A169" s="108" t="str">
        <x:v>REQ-0167</x:v>
      </x:c>
      <x:c r="B169" s="108" t="str">
        <x:v>APP-015</x:v>
      </x:c>
      <x:c r="C169" s="108" t="str">
        <x:v>GAS</x:v>
      </x:c>
      <x:c r="D169" s="108" t="str">
        <x:v>gas_required</x:v>
      </x:c>
      <x:c r="E169" s="108" t="str">
        <x:v>no</x:v>
      </x:c>
      <x:c r="F169" s="108" t="str"/>
      <x:c r="G169" s="108" t="str"/>
      <x:c r="H169" s="108" t="str"/>
      <x:c r="I169" s="108" t="str">
        <x:v>user_input</x:v>
      </x:c>
      <x:c r="J169" s="108" t="str">
        <x:v>confirmed</x:v>
      </x:c>
      <x:c r="K169" s="108" t="str"/>
      <x:c r="L169" s="108" t="str"/>
      <x:c r="M169" s="108" t="str">
        <x:v>no</x:v>
      </x:c>
      <x:c r="N169" s="108" t="str"/>
    </x:row>
    <x:row r="170" ht="34" customHeight="1">
      <x:c r="A170" s="108" t="str">
        <x:v>REQ-0168</x:v>
      </x:c>
      <x:c r="B170" s="108" t="str">
        <x:v>APP-015</x:v>
      </x:c>
      <x:c r="C170" s="108" t="str">
        <x:v>HVAC</x:v>
      </x:c>
      <x:c r="D170" s="108" t="str">
        <x:v>ventilation_required</x:v>
      </x:c>
      <x:c r="E170" s="108" t="str">
        <x:v>no</x:v>
      </x:c>
      <x:c r="F170" s="108" t="str"/>
      <x:c r="G170" s="108" t="str"/>
      <x:c r="H170" s="108" t="str"/>
      <x:c r="I170" s="108" t="str">
        <x:v>user_input</x:v>
      </x:c>
      <x:c r="J170" s="108" t="str">
        <x:v>confirmed</x:v>
      </x:c>
      <x:c r="K170" s="108" t="str"/>
      <x:c r="L170" s="108" t="str"/>
      <x:c r="M170" s="108" t="str">
        <x:v>no</x:v>
      </x:c>
      <x:c r="N170" s="108" t="str"/>
    </x:row>
    <x:row r="171" ht="34" customHeight="1">
      <x:c r="A171" s="108" t="str">
        <x:v>REQ-0169</x:v>
      </x:c>
      <x:c r="B171" s="108" t="str">
        <x:v>APP-016</x:v>
      </x:c>
      <x:c r="C171" s="108" t="str">
        <x:v>ELEC</x:v>
      </x:c>
      <x:c r="D171" s="108" t="str">
        <x:v>rated_power</x:v>
      </x:c>
      <x:c r="E171" s="108" t="str"/>
      <x:c r="F171" s="108" t="str"/>
      <x:c r="G171" s="108" t="str">
        <x:v>W</x:v>
      </x:c>
      <x:c r="H171" s="108" t="str"/>
      <x:c r="I171" s="108" t="str">
        <x:v>user_input</x:v>
      </x:c>
      <x:c r="J171" s="108" t="str">
        <x:v>pending</x:v>
      </x:c>
      <x:c r="K171" s="108" t="str"/>
      <x:c r="L171" s="108" t="str"/>
      <x:c r="M171" s="108" t="str">
        <x:v>yes</x:v>
      </x:c>
      <x:c r="N171" s="108" t="str"/>
    </x:row>
    <x:row r="172" ht="34" customHeight="1">
      <x:c r="A172" s="108" t="str">
        <x:v>REQ-0170</x:v>
      </x:c>
      <x:c r="B172" s="108" t="str">
        <x:v>APP-016</x:v>
      </x:c>
      <x:c r="C172" s="108" t="str">
        <x:v>ELEC</x:v>
      </x:c>
      <x:c r="D172" s="108" t="str">
        <x:v>simultaneous_group</x:v>
      </x:c>
      <x:c r="E172" s="108" t="str">
        <x:v>WATER-A</x:v>
      </x:c>
      <x:c r="F172" s="108" t="str"/>
      <x:c r="G172" s="108" t="str"/>
      <x:c r="H172" s="108" t="str"/>
      <x:c r="I172" s="108" t="str">
        <x:v>user_input</x:v>
      </x:c>
      <x:c r="J172" s="108" t="str">
        <x:v>confirmed</x:v>
      </x:c>
      <x:c r="K172" s="108" t="str"/>
      <x:c r="L172" s="108" t="str"/>
      <x:c r="M172" s="108" t="str">
        <x:v>no</x:v>
      </x:c>
      <x:c r="N172" s="108" t="str"/>
    </x:row>
    <x:row r="173" ht="34" customHeight="1">
      <x:c r="A173" s="108" t="str">
        <x:v>REQ-0171</x:v>
      </x:c>
      <x:c r="B173" s="108" t="str">
        <x:v>APP-016</x:v>
      </x:c>
      <x:c r="C173" s="108" t="str">
        <x:v>PLUM</x:v>
      </x:c>
      <x:c r="D173" s="108" t="str">
        <x:v>water_required</x:v>
      </x:c>
      <x:c r="E173" s="108" t="str">
        <x:v>no</x:v>
      </x:c>
      <x:c r="F173" s="108" t="str"/>
      <x:c r="G173" s="108" t="str"/>
      <x:c r="H173" s="108" t="str"/>
      <x:c r="I173" s="108" t="str">
        <x:v>user_input</x:v>
      </x:c>
      <x:c r="J173" s="108" t="str">
        <x:v>confirmed</x:v>
      </x:c>
      <x:c r="K173" s="108" t="str"/>
      <x:c r="L173" s="108" t="str"/>
      <x:c r="M173" s="108" t="str">
        <x:v>no</x:v>
      </x:c>
      <x:c r="N173" s="108" t="str"/>
    </x:row>
    <x:row r="174" ht="34" customHeight="1">
      <x:c r="A174" s="108" t="str">
        <x:v>REQ-0172</x:v>
      </x:c>
      <x:c r="B174" s="108" t="str">
        <x:v>APP-016</x:v>
      </x:c>
      <x:c r="C174" s="108" t="str">
        <x:v>PLUM</x:v>
      </x:c>
      <x:c r="D174" s="108" t="str">
        <x:v>drain_required</x:v>
      </x:c>
      <x:c r="E174" s="108" t="str">
        <x:v>yes</x:v>
      </x:c>
      <x:c r="F174" s="108" t="str"/>
      <x:c r="G174" s="108" t="str"/>
      <x:c r="H174" s="108" t="str"/>
      <x:c r="I174" s="108" t="str">
        <x:v>user_input</x:v>
      </x:c>
      <x:c r="J174" s="108" t="str">
        <x:v>confirmed</x:v>
      </x:c>
      <x:c r="K174" s="108" t="str"/>
      <x:c r="L174" s="108" t="str"/>
      <x:c r="M174" s="108" t="str">
        <x:v>no</x:v>
      </x:c>
      <x:c r="N174" s="108" t="str"/>
    </x:row>
    <x:row r="175" ht="34" customHeight="1">
      <x:c r="A175" s="108" t="str">
        <x:v>REQ-0173</x:v>
      </x:c>
      <x:c r="B175" s="108" t="str">
        <x:v>APP-016</x:v>
      </x:c>
      <x:c r="C175" s="108" t="str">
        <x:v>GAS</x:v>
      </x:c>
      <x:c r="D175" s="108" t="str">
        <x:v>gas_required</x:v>
      </x:c>
      <x:c r="E175" s="108" t="str">
        <x:v>no</x:v>
      </x:c>
      <x:c r="F175" s="108" t="str"/>
      <x:c r="G175" s="108" t="str"/>
      <x:c r="H175" s="108" t="str"/>
      <x:c r="I175" s="108" t="str">
        <x:v>user_input</x:v>
      </x:c>
      <x:c r="J175" s="108" t="str">
        <x:v>confirmed</x:v>
      </x:c>
      <x:c r="K175" s="108" t="str"/>
      <x:c r="L175" s="108" t="str"/>
      <x:c r="M175" s="108" t="str">
        <x:v>no</x:v>
      </x:c>
      <x:c r="N175" s="108" t="str"/>
    </x:row>
    <x:row r="176" ht="34" customHeight="1">
      <x:c r="A176" s="108" t="str">
        <x:v>REQ-0174</x:v>
      </x:c>
      <x:c r="B176" s="108" t="str">
        <x:v>APP-016</x:v>
      </x:c>
      <x:c r="C176" s="108" t="str">
        <x:v>HVAC</x:v>
      </x:c>
      <x:c r="D176" s="108" t="str">
        <x:v>ventilation_required</x:v>
      </x:c>
      <x:c r="E176" s="108" t="str">
        <x:v>no</x:v>
      </x:c>
      <x:c r="F176" s="108" t="str"/>
      <x:c r="G176" s="108" t="str"/>
      <x:c r="H176" s="108" t="str"/>
      <x:c r="I176" s="108" t="str">
        <x:v>user_input</x:v>
      </x:c>
      <x:c r="J176" s="108" t="str">
        <x:v>confirmed</x:v>
      </x:c>
      <x:c r="K176" s="108" t="str"/>
      <x:c r="L176" s="108" t="str"/>
      <x:c r="M176" s="108" t="str">
        <x:v>no</x:v>
      </x:c>
      <x:c r="N176" s="108" t="str"/>
    </x:row>
    <x:row r="177" ht="34" customHeight="1">
      <x:c r="A177" s="108" t="str">
        <x:v>REQ-0175</x:v>
      </x:c>
      <x:c r="B177" s="108" t="str">
        <x:v>APP-017</x:v>
      </x:c>
      <x:c r="C177" s="108" t="str">
        <x:v>ELEC</x:v>
      </x:c>
      <x:c r="D177" s="108" t="str">
        <x:v>rated_power</x:v>
      </x:c>
      <x:c r="E177" s="108" t="str"/>
      <x:c r="F177" s="108" t="str"/>
      <x:c r="G177" s="108" t="str">
        <x:v>W</x:v>
      </x:c>
      <x:c r="H177" s="108" t="str"/>
      <x:c r="I177" s="108" t="str">
        <x:v>user_input</x:v>
      </x:c>
      <x:c r="J177" s="108" t="str">
        <x:v>pending</x:v>
      </x:c>
      <x:c r="K177" s="108" t="str"/>
      <x:c r="L177" s="108" t="str"/>
      <x:c r="M177" s="108" t="str">
        <x:v>yes</x:v>
      </x:c>
      <x:c r="N177" s="108" t="str"/>
    </x:row>
    <x:row r="178" ht="34" customHeight="1">
      <x:c r="A178" s="108" t="str">
        <x:v>REQ-0176</x:v>
      </x:c>
      <x:c r="B178" s="108" t="str">
        <x:v>APP-017</x:v>
      </x:c>
      <x:c r="C178" s="108" t="str">
        <x:v>ELEC</x:v>
      </x:c>
      <x:c r="D178" s="108" t="str">
        <x:v>simultaneous_group</x:v>
      </x:c>
      <x:c r="E178" s="108" t="str">
        <x:v>LAUNDRY-A</x:v>
      </x:c>
      <x:c r="F178" s="108" t="str"/>
      <x:c r="G178" s="108" t="str"/>
      <x:c r="H178" s="108" t="str"/>
      <x:c r="I178" s="108" t="str">
        <x:v>user_input</x:v>
      </x:c>
      <x:c r="J178" s="108" t="str">
        <x:v>confirmed</x:v>
      </x:c>
      <x:c r="K178" s="108" t="str"/>
      <x:c r="L178" s="108" t="str"/>
      <x:c r="M178" s="108" t="str">
        <x:v>no</x:v>
      </x:c>
      <x:c r="N178" s="108" t="str"/>
    </x:row>
    <x:row r="179" ht="34" customHeight="1">
      <x:c r="A179" s="108" t="str">
        <x:v>REQ-0177</x:v>
      </x:c>
      <x:c r="B179" s="108" t="str">
        <x:v>APP-017</x:v>
      </x:c>
      <x:c r="C179" s="108" t="str">
        <x:v>PLUM</x:v>
      </x:c>
      <x:c r="D179" s="108" t="str">
        <x:v>water_required</x:v>
      </x:c>
      <x:c r="E179" s="108" t="str">
        <x:v>yes</x:v>
      </x:c>
      <x:c r="F179" s="108" t="str"/>
      <x:c r="G179" s="108" t="str"/>
      <x:c r="H179" s="108" t="str"/>
      <x:c r="I179" s="108" t="str">
        <x:v>user_input</x:v>
      </x:c>
      <x:c r="J179" s="108" t="str">
        <x:v>confirmed</x:v>
      </x:c>
      <x:c r="K179" s="108" t="str"/>
      <x:c r="L179" s="108" t="str"/>
      <x:c r="M179" s="108" t="str">
        <x:v>no</x:v>
      </x:c>
      <x:c r="N179" s="108" t="str"/>
    </x:row>
    <x:row r="180" ht="34" customHeight="1">
      <x:c r="A180" s="108" t="str">
        <x:v>REQ-0178</x:v>
      </x:c>
      <x:c r="B180" s="108" t="str">
        <x:v>APP-017</x:v>
      </x:c>
      <x:c r="C180" s="108" t="str">
        <x:v>PLUM</x:v>
      </x:c>
      <x:c r="D180" s="108" t="str">
        <x:v>drain_required</x:v>
      </x:c>
      <x:c r="E180" s="108" t="str">
        <x:v>yes</x:v>
      </x:c>
      <x:c r="F180" s="108" t="str"/>
      <x:c r="G180" s="108" t="str"/>
      <x:c r="H180" s="108" t="str"/>
      <x:c r="I180" s="108" t="str">
        <x:v>user_input</x:v>
      </x:c>
      <x:c r="J180" s="108" t="str">
        <x:v>confirmed</x:v>
      </x:c>
      <x:c r="K180" s="108" t="str"/>
      <x:c r="L180" s="108" t="str"/>
      <x:c r="M180" s="108" t="str">
        <x:v>no</x:v>
      </x:c>
      <x:c r="N180" s="108" t="str"/>
    </x:row>
    <x:row r="181" ht="34" customHeight="1">
      <x:c r="A181" s="108" t="str">
        <x:v>REQ-0179</x:v>
      </x:c>
      <x:c r="B181" s="108" t="str">
        <x:v>APP-017</x:v>
      </x:c>
      <x:c r="C181" s="108" t="str">
        <x:v>GAS</x:v>
      </x:c>
      <x:c r="D181" s="108" t="str">
        <x:v>gas_required</x:v>
      </x:c>
      <x:c r="E181" s="108" t="str">
        <x:v>no</x:v>
      </x:c>
      <x:c r="F181" s="108" t="str"/>
      <x:c r="G181" s="108" t="str"/>
      <x:c r="H181" s="108" t="str"/>
      <x:c r="I181" s="108" t="str">
        <x:v>user_input</x:v>
      </x:c>
      <x:c r="J181" s="108" t="str">
        <x:v>confirmed</x:v>
      </x:c>
      <x:c r="K181" s="108" t="str"/>
      <x:c r="L181" s="108" t="str"/>
      <x:c r="M181" s="108" t="str">
        <x:v>no</x:v>
      </x:c>
      <x:c r="N181" s="108" t="str"/>
    </x:row>
    <x:row r="182" ht="34" customHeight="1">
      <x:c r="A182" s="108" t="str">
        <x:v>REQ-0180</x:v>
      </x:c>
      <x:c r="B182" s="108" t="str">
        <x:v>APP-017</x:v>
      </x:c>
      <x:c r="C182" s="108" t="str">
        <x:v>HVAC</x:v>
      </x:c>
      <x:c r="D182" s="108" t="str">
        <x:v>ventilation_required</x:v>
      </x:c>
      <x:c r="E182" s="108" t="str">
        <x:v>yes</x:v>
      </x:c>
      <x:c r="F182" s="108" t="str"/>
      <x:c r="G182" s="108" t="str"/>
      <x:c r="H182" s="108" t="str"/>
      <x:c r="I182" s="108" t="str">
        <x:v>user_input</x:v>
      </x:c>
      <x:c r="J182" s="108" t="str">
        <x:v>confirmed</x:v>
      </x:c>
      <x:c r="K182" s="108" t="str"/>
      <x:c r="L182" s="108" t="str"/>
      <x:c r="M182" s="108" t="str">
        <x:v>no</x:v>
      </x:c>
      <x:c r="N182" s="108" t="str"/>
    </x:row>
    <x:row r="183" ht="34" customHeight="1">
      <x:c r="A183" s="108" t="str">
        <x:v>REQ-0181</x:v>
      </x:c>
      <x:c r="B183" s="108" t="str">
        <x:v>APP-018</x:v>
      </x:c>
      <x:c r="C183" s="108" t="str">
        <x:v>ELEC</x:v>
      </x:c>
      <x:c r="D183" s="108" t="str">
        <x:v>rated_power</x:v>
      </x:c>
      <x:c r="E183" s="108" t="str"/>
      <x:c r="F183" s="108" t="str"/>
      <x:c r="G183" s="108" t="str">
        <x:v>W</x:v>
      </x:c>
      <x:c r="H183" s="108" t="str"/>
      <x:c r="I183" s="108" t="str">
        <x:v>user_input</x:v>
      </x:c>
      <x:c r="J183" s="108" t="str">
        <x:v>pending</x:v>
      </x:c>
      <x:c r="K183" s="108" t="str"/>
      <x:c r="L183" s="108" t="str"/>
      <x:c r="M183" s="108" t="str">
        <x:v>yes</x:v>
      </x:c>
      <x:c r="N183" s="108" t="str"/>
    </x:row>
    <x:row r="184" ht="34" customHeight="1">
      <x:c r="A184" s="108" t="str">
        <x:v>REQ-0182</x:v>
      </x:c>
      <x:c r="B184" s="108" t="str">
        <x:v>APP-018</x:v>
      </x:c>
      <x:c r="C184" s="108" t="str">
        <x:v>ELEC</x:v>
      </x:c>
      <x:c r="D184" s="108" t="str">
        <x:v>simultaneous_group</x:v>
      </x:c>
      <x:c r="E184" s="108" t="str">
        <x:v>CONTINUOUS</x:v>
      </x:c>
      <x:c r="F184" s="108" t="str"/>
      <x:c r="G184" s="108" t="str"/>
      <x:c r="H184" s="108" t="str"/>
      <x:c r="I184" s="108" t="str">
        <x:v>user_input</x:v>
      </x:c>
      <x:c r="J184" s="108" t="str">
        <x:v>confirmed</x:v>
      </x:c>
      <x:c r="K184" s="108" t="str"/>
      <x:c r="L184" s="108" t="str"/>
      <x:c r="M184" s="108" t="str">
        <x:v>no</x:v>
      </x:c>
      <x:c r="N184" s="108" t="str"/>
    </x:row>
    <x:row r="185" ht="34" customHeight="1">
      <x:c r="A185" s="108" t="str">
        <x:v>REQ-0183</x:v>
      </x:c>
      <x:c r="B185" s="108" t="str">
        <x:v>APP-018</x:v>
      </x:c>
      <x:c r="C185" s="108" t="str">
        <x:v>PLUM</x:v>
      </x:c>
      <x:c r="D185" s="108" t="str">
        <x:v>water_required</x:v>
      </x:c>
      <x:c r="E185" s="108" t="str">
        <x:v>no</x:v>
      </x:c>
      <x:c r="F185" s="108" t="str"/>
      <x:c r="G185" s="108" t="str"/>
      <x:c r="H185" s="108" t="str"/>
      <x:c r="I185" s="108" t="str">
        <x:v>user_input</x:v>
      </x:c>
      <x:c r="J185" s="108" t="str">
        <x:v>confirmed</x:v>
      </x:c>
      <x:c r="K185" s="108" t="str"/>
      <x:c r="L185" s="108" t="str"/>
      <x:c r="M185" s="108" t="str">
        <x:v>no</x:v>
      </x:c>
      <x:c r="N185" s="108" t="str"/>
    </x:row>
    <x:row r="186" ht="34" customHeight="1">
      <x:c r="A186" s="108" t="str">
        <x:v>REQ-0184</x:v>
      </x:c>
      <x:c r="B186" s="108" t="str">
        <x:v>APP-018</x:v>
      </x:c>
      <x:c r="C186" s="108" t="str">
        <x:v>PLUM</x:v>
      </x:c>
      <x:c r="D186" s="108" t="str">
        <x:v>drain_required</x:v>
      </x:c>
      <x:c r="E186" s="108" t="str">
        <x:v>no</x:v>
      </x:c>
      <x:c r="F186" s="108" t="str"/>
      <x:c r="G186" s="108" t="str"/>
      <x:c r="H186" s="108" t="str"/>
      <x:c r="I186" s="108" t="str">
        <x:v>user_input</x:v>
      </x:c>
      <x:c r="J186" s="108" t="str">
        <x:v>confirmed</x:v>
      </x:c>
      <x:c r="K186" s="108" t="str"/>
      <x:c r="L186" s="108" t="str"/>
      <x:c r="M186" s="108" t="str">
        <x:v>no</x:v>
      </x:c>
      <x:c r="N186" s="108" t="str"/>
    </x:row>
    <x:row r="187" ht="34" customHeight="1">
      <x:c r="A187" s="108" t="str">
        <x:v>REQ-0185</x:v>
      </x:c>
      <x:c r="B187" s="108" t="str">
        <x:v>APP-018</x:v>
      </x:c>
      <x:c r="C187" s="108" t="str">
        <x:v>GAS</x:v>
      </x:c>
      <x:c r="D187" s="108" t="str">
        <x:v>gas_required</x:v>
      </x:c>
      <x:c r="E187" s="108" t="str">
        <x:v>no</x:v>
      </x:c>
      <x:c r="F187" s="108" t="str"/>
      <x:c r="G187" s="108" t="str"/>
      <x:c r="H187" s="108" t="str"/>
      <x:c r="I187" s="108" t="str">
        <x:v>user_input</x:v>
      </x:c>
      <x:c r="J187" s="108" t="str">
        <x:v>confirmed</x:v>
      </x:c>
      <x:c r="K187" s="108" t="str"/>
      <x:c r="L187" s="108" t="str"/>
      <x:c r="M187" s="108" t="str">
        <x:v>no</x:v>
      </x:c>
      <x:c r="N187" s="108" t="str"/>
    </x:row>
    <x:row r="188" ht="34" customHeight="1">
      <x:c r="A188" s="108" t="str">
        <x:v>REQ-0186</x:v>
      </x:c>
      <x:c r="B188" s="108" t="str">
        <x:v>APP-018</x:v>
      </x:c>
      <x:c r="C188" s="108" t="str">
        <x:v>HVAC</x:v>
      </x:c>
      <x:c r="D188" s="108" t="str">
        <x:v>ventilation_required</x:v>
      </x:c>
      <x:c r="E188" s="108" t="str">
        <x:v>yes</x:v>
      </x:c>
      <x:c r="F188" s="108" t="str"/>
      <x:c r="G188" s="108" t="str"/>
      <x:c r="H188" s="108" t="str"/>
      <x:c r="I188" s="108" t="str">
        <x:v>user_input</x:v>
      </x:c>
      <x:c r="J188" s="108" t="str">
        <x:v>confirmed</x:v>
      </x:c>
      <x:c r="K188" s="108" t="str"/>
      <x:c r="L188" s="108" t="str"/>
      <x:c r="M188" s="108" t="str">
        <x:v>no</x:v>
      </x:c>
      <x:c r="N188" s="108" t="str"/>
    </x:row>
    <x:row r="189" ht="34" customHeight="1">
      <x:c r="A189" s="108" t="str">
        <x:v>REQ-0187</x:v>
      </x:c>
      <x:c r="B189" s="108" t="str">
        <x:v>FUR-Libelle</x:v>
      </x:c>
      <x:c r="C189" s="108" t="str">
        <x:v>INT1</x:v>
      </x:c>
      <x:c r="D189" s="108" t="str">
        <x:v>intended_use</x:v>
      </x:c>
      <x:c r="E189" s="108" t="str">
        <x:v>存放酒和调酒器具</x:v>
      </x:c>
      <x:c r="F189" s="108" t="str"/>
      <x:c r="G189" s="108" t="str"/>
      <x:c r="H189" s="108" t="str"/>
      <x:c r="I189" s="108" t="str">
        <x:v>user_input</x:v>
      </x:c>
      <x:c r="J189" s="108" t="str">
        <x:v>confirmed</x:v>
      </x:c>
      <x:c r="K189" s="108" t="str"/>
      <x:c r="L189" s="108" t="str"/>
      <x:c r="M189" s="108" t="str">
        <x:v>no</x:v>
      </x:c>
      <x:c r="N189" s="108" t="str"/>
    </x:row>
    <x:row r="190" ht="34" customHeight="1">
      <x:c r="A190" s="108" t="str">
        <x:v>REQ-0188</x:v>
      </x:c>
      <x:c r="B190" s="108" t="str">
        <x:v>FUR-WD01</x:v>
      </x:c>
      <x:c r="C190" s="108" t="str">
        <x:v>INT1</x:v>
      </x:c>
      <x:c r="D190" s="108" t="str">
        <x:v>intended_use</x:v>
      </x:c>
      <x:c r="E190" s="108" t="str">
        <x:v>衣物收纳及衣柜与墙体之间的旋转门系统</x:v>
      </x:c>
      <x:c r="F190" s="108" t="str"/>
      <x:c r="G190" s="108" t="str"/>
      <x:c r="H190" s="108" t="str"/>
      <x:c r="I190" s="108" t="str">
        <x:v>user_input</x:v>
      </x:c>
      <x:c r="J190" s="108" t="str">
        <x:v>confirmed</x:v>
      </x:c>
      <x:c r="K190" s="108" t="str"/>
      <x:c r="L190" s="108" t="str"/>
      <x:c r="M190" s="108" t="str">
        <x:v>no</x:v>
      </x:c>
      <x:c r="N190" s="108" t="str"/>
    </x:row>
    <x:row r="191" ht="34" customHeight="1">
      <x:c r="A191" s="108" t="str">
        <x:v>REQ-0189</x:v>
      </x:c>
      <x:c r="B191" s="108" t="str">
        <x:v>FUR-WD01L</x:v>
      </x:c>
      <x:c r="C191" s="108" t="str">
        <x:v>INT1</x:v>
      </x:c>
      <x:c r="D191" s="108" t="str">
        <x:v>intended_use</x:v>
      </x:c>
      <x:c r="E191" s="108" t="str">
        <x:v>衣物收纳及衣柜与墙体之间的旋转门系统</x:v>
      </x:c>
      <x:c r="F191" s="108" t="str"/>
      <x:c r="G191" s="108" t="str"/>
      <x:c r="H191" s="108" t="str"/>
      <x:c r="I191" s="108" t="str">
        <x:v>user_input</x:v>
      </x:c>
      <x:c r="J191" s="108" t="str">
        <x:v>confirmed</x:v>
      </x:c>
      <x:c r="K191" s="108" t="str"/>
      <x:c r="L191" s="108" t="str"/>
      <x:c r="M191" s="108" t="str">
        <x:v>no</x:v>
      </x:c>
      <x:c r="N191" s="108" t="str"/>
    </x:row>
    <x:row r="192" ht="34" customHeight="1">
      <x:c r="A192" s="108" t="str">
        <x:v>REQ-0190</x:v>
      </x:c>
      <x:c r="B192" s="108" t="str">
        <x:v>FUR-WD02</x:v>
      </x:c>
      <x:c r="C192" s="108" t="str">
        <x:v>INT1</x:v>
      </x:c>
      <x:c r="D192" s="108" t="str">
        <x:v>intended_use</x:v>
      </x:c>
      <x:c r="E192" s="108" t="str">
        <x:v>衣物收纳</x:v>
      </x:c>
      <x:c r="F192" s="108" t="str"/>
      <x:c r="G192" s="108" t="str"/>
      <x:c r="H192" s="108" t="str"/>
      <x:c r="I192" s="108" t="str">
        <x:v>user_input</x:v>
      </x:c>
      <x:c r="J192" s="108" t="str">
        <x:v>confirmed</x:v>
      </x:c>
      <x:c r="K192" s="108" t="str"/>
      <x:c r="L192" s="108" t="str"/>
      <x:c r="M192" s="108" t="str">
        <x:v>no</x:v>
      </x:c>
      <x:c r="N192" s="108" t="str"/>
    </x:row>
    <x:row r="193" ht="34" customHeight="1">
      <x:c r="A193" s="108" t="str">
        <x:v>REQ-0191</x:v>
      </x:c>
      <x:c r="B193" s="108" t="str">
        <x:v>FUR-WD03</x:v>
      </x:c>
      <x:c r="C193" s="108" t="str">
        <x:v>INT1</x:v>
      </x:c>
      <x:c r="D193" s="108" t="str">
        <x:v>intended_use</x:v>
      </x:c>
      <x:c r="E193" s="108" t="str">
        <x:v>衣物收纳</x:v>
      </x:c>
      <x:c r="F193" s="108" t="str"/>
      <x:c r="G193" s="108" t="str"/>
      <x:c r="H193" s="108" t="str"/>
      <x:c r="I193" s="108" t="str">
        <x:v>user_input</x:v>
      </x:c>
      <x:c r="J193" s="108" t="str">
        <x:v>confirmed</x:v>
      </x:c>
      <x:c r="K193" s="108" t="str"/>
      <x:c r="L193" s="108" t="str"/>
      <x:c r="M193" s="108" t="str">
        <x:v>no</x:v>
      </x:c>
      <x:c r="N193" s="108" t="str"/>
    </x:row>
    <x:row r="194" ht="34" customHeight="1">
      <x:c r="A194" s="108" t="str">
        <x:v>REQ-0192</x:v>
      </x:c>
      <x:c r="B194" s="108" t="str">
        <x:v>FUR-BST01</x:v>
      </x:c>
      <x:c r="C194" s="108" t="str">
        <x:v>INT1</x:v>
      </x:c>
      <x:c r="D194" s="108" t="str">
        <x:v>intended_use</x:v>
      </x:c>
      <x:c r="E194" s="108" t="str">
        <x:v>床头收纳</x:v>
      </x:c>
      <x:c r="F194" s="108" t="str"/>
      <x:c r="G194" s="108" t="str"/>
      <x:c r="H194" s="108" t="str"/>
      <x:c r="I194" s="108" t="str">
        <x:v>user_input</x:v>
      </x:c>
      <x:c r="J194" s="108" t="str">
        <x:v>confirmed</x:v>
      </x:c>
      <x:c r="K194" s="108" t="str"/>
      <x:c r="L194" s="108" t="str"/>
      <x:c r="M194" s="108" t="str">
        <x:v>no</x:v>
      </x:c>
      <x:c r="N194" s="108" t="str"/>
    </x:row>
    <x:row r="195" ht="34" customHeight="1">
      <x:c r="A195" s="108" t="str">
        <x:v>REQ-0193</x:v>
      </x:c>
      <x:c r="B195" s="108" t="str">
        <x:v>FUR-BST02</x:v>
      </x:c>
      <x:c r="C195" s="108" t="str">
        <x:v>INT1</x:v>
      </x:c>
      <x:c r="D195" s="108" t="str">
        <x:v>intended_use</x:v>
      </x:c>
      <x:c r="E195" s="108" t="str">
        <x:v>床头收纳</x:v>
      </x:c>
      <x:c r="F195" s="108" t="str"/>
      <x:c r="G195" s="108" t="str"/>
      <x:c r="H195" s="108" t="str"/>
      <x:c r="I195" s="108" t="str">
        <x:v>user_input</x:v>
      </x:c>
      <x:c r="J195" s="108" t="str">
        <x:v>confirmed</x:v>
      </x:c>
      <x:c r="K195" s="108" t="str"/>
      <x:c r="L195" s="108" t="str"/>
      <x:c r="M195" s="108" t="str">
        <x:v>no</x:v>
      </x:c>
      <x:c r="N195" s="108" t="str"/>
    </x:row>
    <x:row r="196" ht="34" customHeight="1">
      <x:c r="A196" s="108" t="str">
        <x:v>REQ-0194</x:v>
      </x:c>
      <x:c r="B196" s="108" t="str">
        <x:v>FUR-BST03</x:v>
      </x:c>
      <x:c r="C196" s="108" t="str">
        <x:v>INT1</x:v>
      </x:c>
      <x:c r="D196" s="108" t="str">
        <x:v>intended_use</x:v>
      </x:c>
      <x:c r="E196" s="108" t="str">
        <x:v>床头收纳</x:v>
      </x:c>
      <x:c r="F196" s="108" t="str"/>
      <x:c r="G196" s="108" t="str"/>
      <x:c r="H196" s="108" t="str"/>
      <x:c r="I196" s="108" t="str">
        <x:v>user_input</x:v>
      </x:c>
      <x:c r="J196" s="108" t="str">
        <x:v>confirmed</x:v>
      </x:c>
      <x:c r="K196" s="108" t="str"/>
      <x:c r="L196" s="108" t="str"/>
      <x:c r="M196" s="108" t="str">
        <x:v>no</x:v>
      </x:c>
      <x:c r="N196" s="108" t="str"/>
    </x:row>
    <x:row r="197" ht="34" customHeight="1">
      <x:c r="A197" s="108" t="str">
        <x:v>REQ-0195</x:v>
      </x:c>
      <x:c r="B197" s="108" t="str">
        <x:v>DW-M01</x:v>
      </x:c>
      <x:c r="C197" s="108" t="str">
        <x:v>ARCH</x:v>
      </x:c>
      <x:c r="D197" s="108" t="str">
        <x:v>nominal_width</x:v>
      </x:c>
      <x:c r="E197" s="108" t="str"/>
      <x:c r="F197" s="108" t="str">
        <x:v>1465</x:v>
      </x:c>
      <x:c r="G197" s="108" t="str">
        <x:v>mm</x:v>
      </x:c>
      <x:c r="H197" s="108" t="str"/>
      <x:c r="I197" s="108" t="str">
        <x:v>ifc_observed</x:v>
      </x:c>
      <x:c r="J197" s="108" t="str">
        <x:v>observed</x:v>
      </x:c>
      <x:c r="K197" s="108" t="str">
        <x:v>IFC-FORMAL-001</x:v>
      </x:c>
      <x:c r="L197" s="108" t="str"/>
      <x:c r="M197" s="108" t="str">
        <x:v>no</x:v>
      </x:c>
      <x:c r="N197" s="108" t="str"/>
    </x:row>
    <x:row r="198" ht="34" customHeight="1">
      <x:c r="A198" s="108" t="str">
        <x:v>REQ-0196</x:v>
      </x:c>
      <x:c r="B198" s="108" t="str">
        <x:v>DW-M01</x:v>
      </x:c>
      <x:c r="C198" s="108" t="str">
        <x:v>ARCH</x:v>
      </x:c>
      <x:c r="D198" s="108" t="str">
        <x:v>nominal_height</x:v>
      </x:c>
      <x:c r="E198" s="108" t="str"/>
      <x:c r="F198" s="108" t="str">
        <x:v>2240</x:v>
      </x:c>
      <x:c r="G198" s="108" t="str">
        <x:v>mm</x:v>
      </x:c>
      <x:c r="H198" s="108" t="str"/>
      <x:c r="I198" s="108" t="str">
        <x:v>ifc_observed</x:v>
      </x:c>
      <x:c r="J198" s="108" t="str">
        <x:v>observed</x:v>
      </x:c>
      <x:c r="K198" s="108" t="str">
        <x:v>IFC-FORMAL-001</x:v>
      </x:c>
      <x:c r="L198" s="108" t="str"/>
      <x:c r="M198" s="108" t="str">
        <x:v>no</x:v>
      </x:c>
      <x:c r="N198" s="108" t="str"/>
    </x:row>
    <x:row r="199" ht="34" customHeight="1">
      <x:c r="A199" s="108" t="str">
        <x:v>REQ-0197</x:v>
      </x:c>
      <x:c r="B199" s="108" t="str">
        <x:v>DW-M01</x:v>
      </x:c>
      <x:c r="C199" s="108" t="str">
        <x:v>ARCH</x:v>
      </x:c>
      <x:c r="D199" s="108" t="str">
        <x:v>operation_type</x:v>
      </x:c>
      <x:c r="E199" s="108" t="str">
        <x:v>SLIDING_TO_LEFT</x:v>
      </x:c>
      <x:c r="F199" s="108" t="str"/>
      <x:c r="G199" s="108" t="str"/>
      <x:c r="H199" s="108" t="str"/>
      <x:c r="I199" s="108" t="str">
        <x:v>ifc_observed</x:v>
      </x:c>
      <x:c r="J199" s="108" t="str">
        <x:v>observed</x:v>
      </x:c>
      <x:c r="K199" s="108" t="str">
        <x:v>IFC-FORMAL-001</x:v>
      </x:c>
      <x:c r="L199" s="108" t="str"/>
      <x:c r="M199" s="108" t="str">
        <x:v>no</x:v>
      </x:c>
      <x:c r="N199" s="108" t="str"/>
    </x:row>
    <x:row r="200" ht="34" customHeight="1">
      <x:c r="A200" s="108" t="str">
        <x:v>REQ-0198</x:v>
      </x:c>
      <x:c r="B200" s="108" t="str">
        <x:v>DW-M01</x:v>
      </x:c>
      <x:c r="C200" s="108" t="str">
        <x:v>ARCH</x:v>
      </x:c>
      <x:c r="D200" s="108" t="str">
        <x:v>host_relation</x:v>
      </x:c>
      <x:c r="E200" s="108" t="str">
        <x:v>HOSTED</x:v>
      </x:c>
      <x:c r="F200" s="108" t="str"/>
      <x:c r="G200" s="108" t="str"/>
      <x:c r="H200" s="108" t="str"/>
      <x:c r="I200" s="108" t="str">
        <x:v>ifc_observed</x:v>
      </x:c>
      <x:c r="J200" s="108" t="str">
        <x:v>observed</x:v>
      </x:c>
      <x:c r="K200" s="108" t="str">
        <x:v>IFC-FORMAL-001</x:v>
      </x:c>
      <x:c r="L200" s="108" t="str"/>
      <x:c r="M200" s="108" t="str">
        <x:v>no</x:v>
      </x:c>
      <x:c r="N200" s="108" t="str"/>
    </x:row>
    <x:row r="201" ht="34" customHeight="1">
      <x:c r="A201" s="108" t="str">
        <x:v>REQ-0199</x:v>
      </x:c>
      <x:c r="B201" s="108" t="str">
        <x:v>DW-M01</x:v>
      </x:c>
      <x:c r="C201" s="108" t="str">
        <x:v>ARCH</x:v>
      </x:c>
      <x:c r="D201" s="108" t="str">
        <x:v>sill_or_threshold_z</x:v>
      </x:c>
      <x:c r="E201" s="108" t="str"/>
      <x:c r="F201" s="108" t="str">
        <x:v>0.000000</x:v>
      </x:c>
      <x:c r="G201" s="108" t="str">
        <x:v>mm</x:v>
      </x:c>
      <x:c r="H201" s="108" t="str"/>
      <x:c r="I201" s="108" t="str">
        <x:v>ifc_observed</x:v>
      </x:c>
      <x:c r="J201" s="108" t="str">
        <x:v>observed</x:v>
      </x:c>
      <x:c r="K201" s="108" t="str">
        <x:v>IFC-FORMAL-001</x:v>
      </x:c>
      <x:c r="L201" s="108" t="str"/>
      <x:c r="M201" s="108" t="str">
        <x:v>no</x:v>
      </x:c>
      <x:c r="N201" s="108" t="str"/>
    </x:row>
    <x:row r="202" ht="34" customHeight="1">
      <x:c r="A202" s="108" t="str">
        <x:v>REQ-0200</x:v>
      </x:c>
      <x:c r="B202" s="108" t="str">
        <x:v>DW-M02</x:v>
      </x:c>
      <x:c r="C202" s="108" t="str">
        <x:v>ARCH</x:v>
      </x:c>
      <x:c r="D202" s="108" t="str">
        <x:v>nominal_width</x:v>
      </x:c>
      <x:c r="E202" s="108" t="str"/>
      <x:c r="F202" s="108" t="str">
        <x:v>1465</x:v>
      </x:c>
      <x:c r="G202" s="108" t="str">
        <x:v>mm</x:v>
      </x:c>
      <x:c r="H202" s="108" t="str"/>
      <x:c r="I202" s="108" t="str">
        <x:v>ifc_observed</x:v>
      </x:c>
      <x:c r="J202" s="108" t="str">
        <x:v>observed</x:v>
      </x:c>
      <x:c r="K202" s="108" t="str">
        <x:v>IFC-FORMAL-001</x:v>
      </x:c>
      <x:c r="L202" s="108" t="str"/>
      <x:c r="M202" s="108" t="str">
        <x:v>no</x:v>
      </x:c>
      <x:c r="N202" s="108" t="str"/>
    </x:row>
    <x:row r="203" ht="34" customHeight="1">
      <x:c r="A203" s="108" t="str">
        <x:v>REQ-0201</x:v>
      </x:c>
      <x:c r="B203" s="108" t="str">
        <x:v>DW-M02</x:v>
      </x:c>
      <x:c r="C203" s="108" t="str">
        <x:v>ARCH</x:v>
      </x:c>
      <x:c r="D203" s="108" t="str">
        <x:v>nominal_height</x:v>
      </x:c>
      <x:c r="E203" s="108" t="str"/>
      <x:c r="F203" s="108" t="str">
        <x:v>2240</x:v>
      </x:c>
      <x:c r="G203" s="108" t="str">
        <x:v>mm</x:v>
      </x:c>
      <x:c r="H203" s="108" t="str"/>
      <x:c r="I203" s="108" t="str">
        <x:v>ifc_observed</x:v>
      </x:c>
      <x:c r="J203" s="108" t="str">
        <x:v>observed</x:v>
      </x:c>
      <x:c r="K203" s="108" t="str">
        <x:v>IFC-FORMAL-001</x:v>
      </x:c>
      <x:c r="L203" s="108" t="str"/>
      <x:c r="M203" s="108" t="str">
        <x:v>no</x:v>
      </x:c>
      <x:c r="N203" s="108" t="str"/>
    </x:row>
    <x:row r="204" ht="34" customHeight="1">
      <x:c r="A204" s="108" t="str">
        <x:v>REQ-0202</x:v>
      </x:c>
      <x:c r="B204" s="108" t="str">
        <x:v>DW-M02</x:v>
      </x:c>
      <x:c r="C204" s="108" t="str">
        <x:v>ARCH</x:v>
      </x:c>
      <x:c r="D204" s="108" t="str">
        <x:v>operation_type</x:v>
      </x:c>
      <x:c r="E204" s="108" t="str">
        <x:v>SLIDING_TO_LEFT</x:v>
      </x:c>
      <x:c r="F204" s="108" t="str"/>
      <x:c r="G204" s="108" t="str"/>
      <x:c r="H204" s="108" t="str"/>
      <x:c r="I204" s="108" t="str">
        <x:v>ifc_observed</x:v>
      </x:c>
      <x:c r="J204" s="108" t="str">
        <x:v>observed</x:v>
      </x:c>
      <x:c r="K204" s="108" t="str">
        <x:v>IFC-FORMAL-001</x:v>
      </x:c>
      <x:c r="L204" s="108" t="str"/>
      <x:c r="M204" s="108" t="str">
        <x:v>no</x:v>
      </x:c>
      <x:c r="N204" s="108" t="str"/>
    </x:row>
    <x:row r="205" ht="34" customHeight="1">
      <x:c r="A205" s="108" t="str">
        <x:v>REQ-0203</x:v>
      </x:c>
      <x:c r="B205" s="108" t="str">
        <x:v>DW-M02</x:v>
      </x:c>
      <x:c r="C205" s="108" t="str">
        <x:v>ARCH</x:v>
      </x:c>
      <x:c r="D205" s="108" t="str">
        <x:v>host_relation</x:v>
      </x:c>
      <x:c r="E205" s="108" t="str">
        <x:v>HOSTED</x:v>
      </x:c>
      <x:c r="F205" s="108" t="str"/>
      <x:c r="G205" s="108" t="str"/>
      <x:c r="H205" s="108" t="str"/>
      <x:c r="I205" s="108" t="str">
        <x:v>ifc_observed</x:v>
      </x:c>
      <x:c r="J205" s="108" t="str">
        <x:v>observed</x:v>
      </x:c>
      <x:c r="K205" s="108" t="str">
        <x:v>IFC-FORMAL-001</x:v>
      </x:c>
      <x:c r="L205" s="108" t="str"/>
      <x:c r="M205" s="108" t="str">
        <x:v>no</x:v>
      </x:c>
      <x:c r="N205" s="108" t="str"/>
    </x:row>
    <x:row r="206" ht="34" customHeight="1">
      <x:c r="A206" s="108" t="str">
        <x:v>REQ-0204</x:v>
      </x:c>
      <x:c r="B206" s="108" t="str">
        <x:v>DW-M02</x:v>
      </x:c>
      <x:c r="C206" s="108" t="str">
        <x:v>ARCH</x:v>
      </x:c>
      <x:c r="D206" s="108" t="str">
        <x:v>sill_or_threshold_z</x:v>
      </x:c>
      <x:c r="E206" s="108" t="str"/>
      <x:c r="F206" s="108" t="str">
        <x:v>0.000000</x:v>
      </x:c>
      <x:c r="G206" s="108" t="str">
        <x:v>mm</x:v>
      </x:c>
      <x:c r="H206" s="108" t="str"/>
      <x:c r="I206" s="108" t="str">
        <x:v>ifc_observed</x:v>
      </x:c>
      <x:c r="J206" s="108" t="str">
        <x:v>observed</x:v>
      </x:c>
      <x:c r="K206" s="108" t="str">
        <x:v>IFC-FORMAL-001</x:v>
      </x:c>
      <x:c r="L206" s="108" t="str"/>
      <x:c r="M206" s="108" t="str">
        <x:v>no</x:v>
      </x:c>
      <x:c r="N206" s="108" t="str"/>
    </x:row>
    <x:row r="207" ht="34" customHeight="1">
      <x:c r="A207" s="108" t="str">
        <x:v>REQ-0205</x:v>
      </x:c>
      <x:c r="B207" s="108" t="str">
        <x:v>DW-M03</x:v>
      </x:c>
      <x:c r="C207" s="108" t="str">
        <x:v>ARCH</x:v>
      </x:c>
      <x:c r="D207" s="108" t="str">
        <x:v>nominal_width</x:v>
      </x:c>
      <x:c r="E207" s="108" t="str"/>
      <x:c r="F207" s="108" t="str">
        <x:v>800</x:v>
      </x:c>
      <x:c r="G207" s="108" t="str">
        <x:v>mm</x:v>
      </x:c>
      <x:c r="H207" s="108" t="str"/>
      <x:c r="I207" s="108" t="str">
        <x:v>ifc_observed</x:v>
      </x:c>
      <x:c r="J207" s="108" t="str">
        <x:v>observed</x:v>
      </x:c>
      <x:c r="K207" s="108" t="str">
        <x:v>IFC-FORMAL-001</x:v>
      </x:c>
      <x:c r="L207" s="108" t="str"/>
      <x:c r="M207" s="108" t="str">
        <x:v>no</x:v>
      </x:c>
      <x:c r="N207" s="108" t="str"/>
    </x:row>
    <x:row r="208" ht="34" customHeight="1">
      <x:c r="A208" s="108" t="str">
        <x:v>REQ-0206</x:v>
      </x:c>
      <x:c r="B208" s="108" t="str">
        <x:v>DW-M03</x:v>
      </x:c>
      <x:c r="C208" s="108" t="str">
        <x:v>ARCH</x:v>
      </x:c>
      <x:c r="D208" s="108" t="str">
        <x:v>nominal_height</x:v>
      </x:c>
      <x:c r="E208" s="108" t="str"/>
      <x:c r="F208" s="108" t="str">
        <x:v>2000</x:v>
      </x:c>
      <x:c r="G208" s="108" t="str">
        <x:v>mm</x:v>
      </x:c>
      <x:c r="H208" s="108" t="str"/>
      <x:c r="I208" s="108" t="str">
        <x:v>ifc_observed</x:v>
      </x:c>
      <x:c r="J208" s="108" t="str">
        <x:v>observed</x:v>
      </x:c>
      <x:c r="K208" s="108" t="str">
        <x:v>IFC-FORMAL-001</x:v>
      </x:c>
      <x:c r="L208" s="108" t="str"/>
      <x:c r="M208" s="108" t="str">
        <x:v>no</x:v>
      </x:c>
      <x:c r="N208" s="108" t="str"/>
    </x:row>
    <x:row r="209" ht="34" customHeight="1">
      <x:c r="A209" s="108" t="str">
        <x:v>REQ-0207</x:v>
      </x:c>
      <x:c r="B209" s="108" t="str">
        <x:v>DW-M03</x:v>
      </x:c>
      <x:c r="C209" s="108" t="str">
        <x:v>ARCH</x:v>
      </x:c>
      <x:c r="D209" s="108" t="str">
        <x:v>operation_type</x:v>
      </x:c>
      <x:c r="E209" s="108" t="str">
        <x:v>SINGLE_SWING_RIGHT</x:v>
      </x:c>
      <x:c r="F209" s="108" t="str"/>
      <x:c r="G209" s="108" t="str"/>
      <x:c r="H209" s="108" t="str"/>
      <x:c r="I209" s="108" t="str">
        <x:v>ifc_observed</x:v>
      </x:c>
      <x:c r="J209" s="108" t="str">
        <x:v>observed</x:v>
      </x:c>
      <x:c r="K209" s="108" t="str">
        <x:v>IFC-FORMAL-001</x:v>
      </x:c>
      <x:c r="L209" s="108" t="str"/>
      <x:c r="M209" s="108" t="str">
        <x:v>no</x:v>
      </x:c>
      <x:c r="N209" s="108" t="str"/>
    </x:row>
    <x:row r="210" ht="34" customHeight="1">
      <x:c r="A210" s="108" t="str">
        <x:v>REQ-0208</x:v>
      </x:c>
      <x:c r="B210" s="108" t="str">
        <x:v>DW-M03</x:v>
      </x:c>
      <x:c r="C210" s="108" t="str">
        <x:v>ARCH</x:v>
      </x:c>
      <x:c r="D210" s="108" t="str">
        <x:v>host_relation</x:v>
      </x:c>
      <x:c r="E210" s="108" t="str">
        <x:v>HOSTED</x:v>
      </x:c>
      <x:c r="F210" s="108" t="str"/>
      <x:c r="G210" s="108" t="str"/>
      <x:c r="H210" s="108" t="str"/>
      <x:c r="I210" s="108" t="str">
        <x:v>ifc_observed</x:v>
      </x:c>
      <x:c r="J210" s="108" t="str">
        <x:v>observed</x:v>
      </x:c>
      <x:c r="K210" s="108" t="str">
        <x:v>IFC-FORMAL-001</x:v>
      </x:c>
      <x:c r="L210" s="108" t="str"/>
      <x:c r="M210" s="108" t="str">
        <x:v>no</x:v>
      </x:c>
      <x:c r="N210" s="108" t="str"/>
    </x:row>
    <x:row r="211" ht="34" customHeight="1">
      <x:c r="A211" s="108" t="str">
        <x:v>REQ-0209</x:v>
      </x:c>
      <x:c r="B211" s="108" t="str">
        <x:v>DW-M03</x:v>
      </x:c>
      <x:c r="C211" s="108" t="str">
        <x:v>ARCH</x:v>
      </x:c>
      <x:c r="D211" s="108" t="str">
        <x:v>sill_or_threshold_z</x:v>
      </x:c>
      <x:c r="E211" s="108" t="str"/>
      <x:c r="F211" s="108" t="str">
        <x:v>0.000000</x:v>
      </x:c>
      <x:c r="G211" s="108" t="str">
        <x:v>mm</x:v>
      </x:c>
      <x:c r="H211" s="108" t="str"/>
      <x:c r="I211" s="108" t="str">
        <x:v>ifc_observed</x:v>
      </x:c>
      <x:c r="J211" s="108" t="str">
        <x:v>observed</x:v>
      </x:c>
      <x:c r="K211" s="108" t="str">
        <x:v>IFC-FORMAL-001</x:v>
      </x:c>
      <x:c r="L211" s="108" t="str"/>
      <x:c r="M211" s="108" t="str">
        <x:v>no</x:v>
      </x:c>
      <x:c r="N211" s="108" t="str"/>
    </x:row>
    <x:row r="212" ht="34" customHeight="1">
      <x:c r="A212" s="108" t="str">
        <x:v>REQ-0210</x:v>
      </x:c>
      <x:c r="B212" s="108" t="str">
        <x:v>DW-M04</x:v>
      </x:c>
      <x:c r="C212" s="108" t="str">
        <x:v>ARCH</x:v>
      </x:c>
      <x:c r="D212" s="108" t="str">
        <x:v>nominal_width</x:v>
      </x:c>
      <x:c r="E212" s="108" t="str"/>
      <x:c r="F212" s="108" t="str">
        <x:v>900</x:v>
      </x:c>
      <x:c r="G212" s="108" t="str">
        <x:v>mm</x:v>
      </x:c>
      <x:c r="H212" s="108" t="str"/>
      <x:c r="I212" s="108" t="str">
        <x:v>ifc_observed</x:v>
      </x:c>
      <x:c r="J212" s="108" t="str">
        <x:v>observed</x:v>
      </x:c>
      <x:c r="K212" s="108" t="str">
        <x:v>IFC-FORMAL-001</x:v>
      </x:c>
      <x:c r="L212" s="108" t="str"/>
      <x:c r="M212" s="108" t="str">
        <x:v>no</x:v>
      </x:c>
      <x:c r="N212" s="108" t="str"/>
    </x:row>
    <x:row r="213" ht="34" customHeight="1">
      <x:c r="A213" s="108" t="str">
        <x:v>REQ-0211</x:v>
      </x:c>
      <x:c r="B213" s="108" t="str">
        <x:v>DW-M04</x:v>
      </x:c>
      <x:c r="C213" s="108" t="str">
        <x:v>ARCH</x:v>
      </x:c>
      <x:c r="D213" s="108" t="str">
        <x:v>nominal_height</x:v>
      </x:c>
      <x:c r="E213" s="108" t="str"/>
      <x:c r="F213" s="108" t="str">
        <x:v>2000</x:v>
      </x:c>
      <x:c r="G213" s="108" t="str">
        <x:v>mm</x:v>
      </x:c>
      <x:c r="H213" s="108" t="str"/>
      <x:c r="I213" s="108" t="str">
        <x:v>ifc_observed</x:v>
      </x:c>
      <x:c r="J213" s="108" t="str">
        <x:v>observed</x:v>
      </x:c>
      <x:c r="K213" s="108" t="str">
        <x:v>IFC-FORMAL-001</x:v>
      </x:c>
      <x:c r="L213" s="108" t="str"/>
      <x:c r="M213" s="108" t="str">
        <x:v>no</x:v>
      </x:c>
      <x:c r="N213" s="108" t="str"/>
    </x:row>
    <x:row r="214" ht="34" customHeight="1">
      <x:c r="A214" s="108" t="str">
        <x:v>REQ-0212</x:v>
      </x:c>
      <x:c r="B214" s="108" t="str">
        <x:v>DW-M04</x:v>
      </x:c>
      <x:c r="C214" s="108" t="str">
        <x:v>ARCH</x:v>
      </x:c>
      <x:c r="D214" s="108" t="str">
        <x:v>operation_type</x:v>
      </x:c>
      <x:c r="E214" s="108" t="str">
        <x:v>SINGLE_SWING_LEFT</x:v>
      </x:c>
      <x:c r="F214" s="108" t="str"/>
      <x:c r="G214" s="108" t="str"/>
      <x:c r="H214" s="108" t="str"/>
      <x:c r="I214" s="108" t="str">
        <x:v>ifc_observed</x:v>
      </x:c>
      <x:c r="J214" s="108" t="str">
        <x:v>observed</x:v>
      </x:c>
      <x:c r="K214" s="108" t="str">
        <x:v>IFC-FORMAL-001</x:v>
      </x:c>
      <x:c r="L214" s="108" t="str"/>
      <x:c r="M214" s="108" t="str">
        <x:v>no</x:v>
      </x:c>
      <x:c r="N214" s="108" t="str"/>
    </x:row>
    <x:row r="215" ht="34" customHeight="1">
      <x:c r="A215" s="108" t="str">
        <x:v>REQ-0213</x:v>
      </x:c>
      <x:c r="B215" s="108" t="str">
        <x:v>DW-M04</x:v>
      </x:c>
      <x:c r="C215" s="108" t="str">
        <x:v>ARCH</x:v>
      </x:c>
      <x:c r="D215" s="108" t="str">
        <x:v>host_relation</x:v>
      </x:c>
      <x:c r="E215" s="108" t="str">
        <x:v>HOSTED</x:v>
      </x:c>
      <x:c r="F215" s="108" t="str"/>
      <x:c r="G215" s="108" t="str"/>
      <x:c r="H215" s="108" t="str"/>
      <x:c r="I215" s="108" t="str">
        <x:v>ifc_observed</x:v>
      </x:c>
      <x:c r="J215" s="108" t="str">
        <x:v>observed</x:v>
      </x:c>
      <x:c r="K215" s="108" t="str">
        <x:v>IFC-FORMAL-001</x:v>
      </x:c>
      <x:c r="L215" s="108" t="str"/>
      <x:c r="M215" s="108" t="str">
        <x:v>no</x:v>
      </x:c>
      <x:c r="N215" s="108" t="str"/>
    </x:row>
    <x:row r="216" ht="34" customHeight="1">
      <x:c r="A216" s="108" t="str">
        <x:v>REQ-0214</x:v>
      </x:c>
      <x:c r="B216" s="108" t="str">
        <x:v>DW-M04</x:v>
      </x:c>
      <x:c r="C216" s="108" t="str">
        <x:v>ARCH</x:v>
      </x:c>
      <x:c r="D216" s="108" t="str">
        <x:v>sill_or_threshold_z</x:v>
      </x:c>
      <x:c r="E216" s="108" t="str"/>
      <x:c r="F216" s="108" t="str">
        <x:v>0.000000</x:v>
      </x:c>
      <x:c r="G216" s="108" t="str">
        <x:v>mm</x:v>
      </x:c>
      <x:c r="H216" s="108" t="str"/>
      <x:c r="I216" s="108" t="str">
        <x:v>ifc_observed</x:v>
      </x:c>
      <x:c r="J216" s="108" t="str">
        <x:v>observed</x:v>
      </x:c>
      <x:c r="K216" s="108" t="str">
        <x:v>IFC-FORMAL-001</x:v>
      </x:c>
      <x:c r="L216" s="108" t="str"/>
      <x:c r="M216" s="108" t="str">
        <x:v>no</x:v>
      </x:c>
      <x:c r="N216" s="108" t="str"/>
    </x:row>
    <x:row r="217" ht="34" customHeight="1">
      <x:c r="A217" s="108" t="str">
        <x:v>REQ-0215</x:v>
      </x:c>
      <x:c r="B217" s="108" t="str">
        <x:v>DW-M05</x:v>
      </x:c>
      <x:c r="C217" s="108" t="str">
        <x:v>ARCH</x:v>
      </x:c>
      <x:c r="D217" s="108" t="str">
        <x:v>nominal_width</x:v>
      </x:c>
      <x:c r="E217" s="108" t="str"/>
      <x:c r="F217" s="108" t="str"/>
      <x:c r="G217" s="108" t="str">
        <x:v>mm</x:v>
      </x:c>
      <x:c r="H217" s="108" t="str"/>
      <x:c r="I217" s="108" t="str">
        <x:v>ifc_observed</x:v>
      </x:c>
      <x:c r="J217" s="108" t="str">
        <x:v>pending</x:v>
      </x:c>
      <x:c r="K217" s="108" t="str">
        <x:v>IFC-FORMAL-001</x:v>
      </x:c>
      <x:c r="L217" s="108" t="str"/>
      <x:c r="M217" s="108" t="str">
        <x:v>yes</x:v>
      </x:c>
      <x:c r="N217" s="108" t="str"/>
    </x:row>
    <x:row r="218" ht="34" customHeight="1">
      <x:c r="A218" s="108" t="str">
        <x:v>REQ-0216</x:v>
      </x:c>
      <x:c r="B218" s="108" t="str">
        <x:v>DW-M05</x:v>
      </x:c>
      <x:c r="C218" s="108" t="str">
        <x:v>ARCH</x:v>
      </x:c>
      <x:c r="D218" s="108" t="str">
        <x:v>nominal_height</x:v>
      </x:c>
      <x:c r="E218" s="108" t="str"/>
      <x:c r="F218" s="108" t="str"/>
      <x:c r="G218" s="108" t="str">
        <x:v>mm</x:v>
      </x:c>
      <x:c r="H218" s="108" t="str"/>
      <x:c r="I218" s="108" t="str">
        <x:v>ifc_observed</x:v>
      </x:c>
      <x:c r="J218" s="108" t="str">
        <x:v>pending</x:v>
      </x:c>
      <x:c r="K218" s="108" t="str">
        <x:v>IFC-FORMAL-001</x:v>
      </x:c>
      <x:c r="L218" s="108" t="str"/>
      <x:c r="M218" s="108" t="str">
        <x:v>yes</x:v>
      </x:c>
      <x:c r="N218" s="108" t="str"/>
    </x:row>
    <x:row r="219" ht="34" customHeight="1">
      <x:c r="A219" s="108" t="str">
        <x:v>REQ-0217</x:v>
      </x:c>
      <x:c r="B219" s="108" t="str">
        <x:v>DW-M05</x:v>
      </x:c>
      <x:c r="C219" s="108" t="str">
        <x:v>ARCH</x:v>
      </x:c>
      <x:c r="D219" s="108" t="str">
        <x:v>operation_type</x:v>
      </x:c>
      <x:c r="E219" s="108" t="str"/>
      <x:c r="F219" s="108" t="str"/>
      <x:c r="G219" s="108" t="str"/>
      <x:c r="H219" s="108" t="str"/>
      <x:c r="I219" s="108" t="str">
        <x:v>ifc_observed</x:v>
      </x:c>
      <x:c r="J219" s="108" t="str">
        <x:v>pending</x:v>
      </x:c>
      <x:c r="K219" s="108" t="str">
        <x:v>IFC-FORMAL-001</x:v>
      </x:c>
      <x:c r="L219" s="108" t="str"/>
      <x:c r="M219" s="108" t="str">
        <x:v>yes</x:v>
      </x:c>
      <x:c r="N219" s="108" t="str"/>
    </x:row>
    <x:row r="220" ht="34" customHeight="1">
      <x:c r="A220" s="108" t="str">
        <x:v>REQ-0218</x:v>
      </x:c>
      <x:c r="B220" s="108" t="str">
        <x:v>DW-M05</x:v>
      </x:c>
      <x:c r="C220" s="108" t="str">
        <x:v>ARCH</x:v>
      </x:c>
      <x:c r="D220" s="108" t="str">
        <x:v>host_relation</x:v>
      </x:c>
      <x:c r="E220" s="108" t="str">
        <x:v>UNHOSTED</x:v>
      </x:c>
      <x:c r="F220" s="108" t="str"/>
      <x:c r="G220" s="108" t="str"/>
      <x:c r="H220" s="108" t="str"/>
      <x:c r="I220" s="108" t="str">
        <x:v>ifc_observed</x:v>
      </x:c>
      <x:c r="J220" s="108" t="str">
        <x:v>observed</x:v>
      </x:c>
      <x:c r="K220" s="108" t="str">
        <x:v>IFC-FORMAL-001</x:v>
      </x:c>
      <x:c r="L220" s="108" t="str"/>
      <x:c r="M220" s="108" t="str">
        <x:v>no</x:v>
      </x:c>
      <x:c r="N220" s="108" t="str"/>
    </x:row>
    <x:row r="221" ht="34" customHeight="1">
      <x:c r="A221" s="108" t="str">
        <x:v>REQ-0219</x:v>
      </x:c>
      <x:c r="B221" s="108" t="str">
        <x:v>DW-M05</x:v>
      </x:c>
      <x:c r="C221" s="108" t="str">
        <x:v>ARCH</x:v>
      </x:c>
      <x:c r="D221" s="108" t="str">
        <x:v>sill_or_threshold_z</x:v>
      </x:c>
      <x:c r="E221" s="108" t="str"/>
      <x:c r="F221" s="108" t="str">
        <x:v>12.000000</x:v>
      </x:c>
      <x:c r="G221" s="108" t="str">
        <x:v>mm</x:v>
      </x:c>
      <x:c r="H221" s="108" t="str"/>
      <x:c r="I221" s="108" t="str">
        <x:v>ifc_observed</x:v>
      </x:c>
      <x:c r="J221" s="108" t="str">
        <x:v>observed</x:v>
      </x:c>
      <x:c r="K221" s="108" t="str">
        <x:v>IFC-FORMAL-001</x:v>
      </x:c>
      <x:c r="L221" s="108" t="str"/>
      <x:c r="M221" s="108" t="str">
        <x:v>no</x:v>
      </x:c>
      <x:c r="N221" s="108" t="str"/>
    </x:row>
    <x:row r="222" ht="34" customHeight="1">
      <x:c r="A222" s="108" t="str">
        <x:v>REQ-0220</x:v>
      </x:c>
      <x:c r="B222" s="108" t="str">
        <x:v>DW-M06</x:v>
      </x:c>
      <x:c r="C222" s="108" t="str">
        <x:v>ARCH</x:v>
      </x:c>
      <x:c r="D222" s="108" t="str">
        <x:v>nominal_width</x:v>
      </x:c>
      <x:c r="E222" s="108" t="str"/>
      <x:c r="F222" s="108" t="str"/>
      <x:c r="G222" s="108" t="str">
        <x:v>mm</x:v>
      </x:c>
      <x:c r="H222" s="108" t="str"/>
      <x:c r="I222" s="108" t="str">
        <x:v>ifc_observed</x:v>
      </x:c>
      <x:c r="J222" s="108" t="str">
        <x:v>pending</x:v>
      </x:c>
      <x:c r="K222" s="108" t="str">
        <x:v>IFC-FORMAL-001</x:v>
      </x:c>
      <x:c r="L222" s="108" t="str"/>
      <x:c r="M222" s="108" t="str">
        <x:v>yes</x:v>
      </x:c>
      <x:c r="N222" s="108" t="str"/>
    </x:row>
    <x:row r="223" ht="34" customHeight="1">
      <x:c r="A223" s="108" t="str">
        <x:v>REQ-0221</x:v>
      </x:c>
      <x:c r="B223" s="108" t="str">
        <x:v>DW-M06</x:v>
      </x:c>
      <x:c r="C223" s="108" t="str">
        <x:v>ARCH</x:v>
      </x:c>
      <x:c r="D223" s="108" t="str">
        <x:v>nominal_height</x:v>
      </x:c>
      <x:c r="E223" s="108" t="str"/>
      <x:c r="F223" s="108" t="str"/>
      <x:c r="G223" s="108" t="str">
        <x:v>mm</x:v>
      </x:c>
      <x:c r="H223" s="108" t="str"/>
      <x:c r="I223" s="108" t="str">
        <x:v>ifc_observed</x:v>
      </x:c>
      <x:c r="J223" s="108" t="str">
        <x:v>pending</x:v>
      </x:c>
      <x:c r="K223" s="108" t="str">
        <x:v>IFC-FORMAL-001</x:v>
      </x:c>
      <x:c r="L223" s="108" t="str"/>
      <x:c r="M223" s="108" t="str">
        <x:v>yes</x:v>
      </x:c>
      <x:c r="N223" s="108" t="str"/>
    </x:row>
    <x:row r="224" ht="34" customHeight="1">
      <x:c r="A224" s="108" t="str">
        <x:v>REQ-0222</x:v>
      </x:c>
      <x:c r="B224" s="108" t="str">
        <x:v>DW-M06</x:v>
      </x:c>
      <x:c r="C224" s="108" t="str">
        <x:v>ARCH</x:v>
      </x:c>
      <x:c r="D224" s="108" t="str">
        <x:v>operation_type</x:v>
      </x:c>
      <x:c r="E224" s="108" t="str"/>
      <x:c r="F224" s="108" t="str"/>
      <x:c r="G224" s="108" t="str"/>
      <x:c r="H224" s="108" t="str"/>
      <x:c r="I224" s="108" t="str">
        <x:v>ifc_observed</x:v>
      </x:c>
      <x:c r="J224" s="108" t="str">
        <x:v>pending</x:v>
      </x:c>
      <x:c r="K224" s="108" t="str">
        <x:v>IFC-FORMAL-001</x:v>
      </x:c>
      <x:c r="L224" s="108" t="str"/>
      <x:c r="M224" s="108" t="str">
        <x:v>yes</x:v>
      </x:c>
      <x:c r="N224" s="108" t="str"/>
    </x:row>
    <x:row r="225" ht="34" customHeight="1">
      <x:c r="A225" s="108" t="str">
        <x:v>REQ-0223</x:v>
      </x:c>
      <x:c r="B225" s="108" t="str">
        <x:v>DW-M06</x:v>
      </x:c>
      <x:c r="C225" s="108" t="str">
        <x:v>ARCH</x:v>
      </x:c>
      <x:c r="D225" s="108" t="str">
        <x:v>host_relation</x:v>
      </x:c>
      <x:c r="E225" s="108" t="str">
        <x:v>UNHOSTED</x:v>
      </x:c>
      <x:c r="F225" s="108" t="str"/>
      <x:c r="G225" s="108" t="str"/>
      <x:c r="H225" s="108" t="str"/>
      <x:c r="I225" s="108" t="str">
        <x:v>ifc_observed</x:v>
      </x:c>
      <x:c r="J225" s="108" t="str">
        <x:v>observed</x:v>
      </x:c>
      <x:c r="K225" s="108" t="str">
        <x:v>IFC-FORMAL-001</x:v>
      </x:c>
      <x:c r="L225" s="108" t="str"/>
      <x:c r="M225" s="108" t="str">
        <x:v>no</x:v>
      </x:c>
      <x:c r="N225" s="108" t="str"/>
    </x:row>
    <x:row r="226" ht="34" customHeight="1">
      <x:c r="A226" s="108" t="str">
        <x:v>REQ-0224</x:v>
      </x:c>
      <x:c r="B226" s="108" t="str">
        <x:v>DW-M06</x:v>
      </x:c>
      <x:c r="C226" s="108" t="str">
        <x:v>ARCH</x:v>
      </x:c>
      <x:c r="D226" s="108" t="str">
        <x:v>sill_or_threshold_z</x:v>
      </x:c>
      <x:c r="E226" s="108" t="str"/>
      <x:c r="F226" s="108" t="str">
        <x:v>2407.699912</x:v>
      </x:c>
      <x:c r="G226" s="108" t="str">
        <x:v>mm</x:v>
      </x:c>
      <x:c r="H226" s="108" t="str"/>
      <x:c r="I226" s="108" t="str">
        <x:v>ifc_observed</x:v>
      </x:c>
      <x:c r="J226" s="108" t="str">
        <x:v>observed</x:v>
      </x:c>
      <x:c r="K226" s="108" t="str">
        <x:v>IFC-FORMAL-001</x:v>
      </x:c>
      <x:c r="L226" s="108" t="str"/>
      <x:c r="M226" s="108" t="str">
        <x:v>no</x:v>
      </x:c>
      <x:c r="N226" s="108" t="str"/>
    </x:row>
    <x:row r="227" ht="34" customHeight="1">
      <x:c r="A227" s="108" t="str">
        <x:v>REQ-0225</x:v>
      </x:c>
      <x:c r="B227" s="108" t="str">
        <x:v>DW-M07</x:v>
      </x:c>
      <x:c r="C227" s="108" t="str">
        <x:v>ARCH</x:v>
      </x:c>
      <x:c r="D227" s="108" t="str">
        <x:v>nominal_width</x:v>
      </x:c>
      <x:c r="E227" s="108" t="str"/>
      <x:c r="F227" s="108" t="str"/>
      <x:c r="G227" s="108" t="str">
        <x:v>mm</x:v>
      </x:c>
      <x:c r="H227" s="108" t="str"/>
      <x:c r="I227" s="108" t="str">
        <x:v>ifc_observed</x:v>
      </x:c>
      <x:c r="J227" s="108" t="str">
        <x:v>pending</x:v>
      </x:c>
      <x:c r="K227" s="108" t="str">
        <x:v>IFC-FORMAL-001</x:v>
      </x:c>
      <x:c r="L227" s="108" t="str"/>
      <x:c r="M227" s="108" t="str">
        <x:v>yes</x:v>
      </x:c>
      <x:c r="N227" s="108" t="str"/>
    </x:row>
    <x:row r="228" ht="34" customHeight="1">
      <x:c r="A228" s="108" t="str">
        <x:v>REQ-0226</x:v>
      </x:c>
      <x:c r="B228" s="108" t="str">
        <x:v>DW-M07</x:v>
      </x:c>
      <x:c r="C228" s="108" t="str">
        <x:v>ARCH</x:v>
      </x:c>
      <x:c r="D228" s="108" t="str">
        <x:v>nominal_height</x:v>
      </x:c>
      <x:c r="E228" s="108" t="str"/>
      <x:c r="F228" s="108" t="str"/>
      <x:c r="G228" s="108" t="str">
        <x:v>mm</x:v>
      </x:c>
      <x:c r="H228" s="108" t="str"/>
      <x:c r="I228" s="108" t="str">
        <x:v>ifc_observed</x:v>
      </x:c>
      <x:c r="J228" s="108" t="str">
        <x:v>pending</x:v>
      </x:c>
      <x:c r="K228" s="108" t="str">
        <x:v>IFC-FORMAL-001</x:v>
      </x:c>
      <x:c r="L228" s="108" t="str"/>
      <x:c r="M228" s="108" t="str">
        <x:v>yes</x:v>
      </x:c>
      <x:c r="N228" s="108" t="str"/>
    </x:row>
    <x:row r="229" ht="34" customHeight="1">
      <x:c r="A229" s="108" t="str">
        <x:v>REQ-0227</x:v>
      </x:c>
      <x:c r="B229" s="108" t="str">
        <x:v>DW-M07</x:v>
      </x:c>
      <x:c r="C229" s="108" t="str">
        <x:v>ARCH</x:v>
      </x:c>
      <x:c r="D229" s="108" t="str">
        <x:v>operation_type</x:v>
      </x:c>
      <x:c r="E229" s="108" t="str"/>
      <x:c r="F229" s="108" t="str"/>
      <x:c r="G229" s="108" t="str"/>
      <x:c r="H229" s="108" t="str"/>
      <x:c r="I229" s="108" t="str">
        <x:v>ifc_observed</x:v>
      </x:c>
      <x:c r="J229" s="108" t="str">
        <x:v>pending</x:v>
      </x:c>
      <x:c r="K229" s="108" t="str">
        <x:v>IFC-FORMAL-001</x:v>
      </x:c>
      <x:c r="L229" s="108" t="str"/>
      <x:c r="M229" s="108" t="str">
        <x:v>yes</x:v>
      </x:c>
      <x:c r="N229" s="108" t="str"/>
    </x:row>
    <x:row r="230" ht="34" customHeight="1">
      <x:c r="A230" s="108" t="str">
        <x:v>REQ-0228</x:v>
      </x:c>
      <x:c r="B230" s="108" t="str">
        <x:v>DW-M07</x:v>
      </x:c>
      <x:c r="C230" s="108" t="str">
        <x:v>ARCH</x:v>
      </x:c>
      <x:c r="D230" s="108" t="str">
        <x:v>host_relation</x:v>
      </x:c>
      <x:c r="E230" s="108" t="str">
        <x:v>UNHOSTED</x:v>
      </x:c>
      <x:c r="F230" s="108" t="str"/>
      <x:c r="G230" s="108" t="str"/>
      <x:c r="H230" s="108" t="str"/>
      <x:c r="I230" s="108" t="str">
        <x:v>ifc_observed</x:v>
      </x:c>
      <x:c r="J230" s="108" t="str">
        <x:v>observed</x:v>
      </x:c>
      <x:c r="K230" s="108" t="str">
        <x:v>IFC-FORMAL-001</x:v>
      </x:c>
      <x:c r="L230" s="108" t="str"/>
      <x:c r="M230" s="108" t="str">
        <x:v>no</x:v>
      </x:c>
      <x:c r="N230" s="108" t="str"/>
    </x:row>
    <x:row r="231" ht="34" customHeight="1">
      <x:c r="A231" s="108" t="str">
        <x:v>REQ-0229</x:v>
      </x:c>
      <x:c r="B231" s="108" t="str">
        <x:v>DW-M07</x:v>
      </x:c>
      <x:c r="C231" s="108" t="str">
        <x:v>ARCH</x:v>
      </x:c>
      <x:c r="D231" s="108" t="str">
        <x:v>sill_or_threshold_z</x:v>
      </x:c>
      <x:c r="E231" s="108" t="str"/>
      <x:c r="F231" s="108" t="str">
        <x:v>16.058349</x:v>
      </x:c>
      <x:c r="G231" s="108" t="str">
        <x:v>mm</x:v>
      </x:c>
      <x:c r="H231" s="108" t="str"/>
      <x:c r="I231" s="108" t="str">
        <x:v>ifc_observed</x:v>
      </x:c>
      <x:c r="J231" s="108" t="str">
        <x:v>observed</x:v>
      </x:c>
      <x:c r="K231" s="108" t="str">
        <x:v>IFC-FORMAL-001</x:v>
      </x:c>
      <x:c r="L231" s="108" t="str"/>
      <x:c r="M231" s="108" t="str">
        <x:v>no</x:v>
      </x:c>
      <x:c r="N231" s="108" t="str"/>
    </x:row>
    <x:row r="232" ht="34" customHeight="1">
      <x:c r="A232" s="108" t="str">
        <x:v>REQ-0230</x:v>
      </x:c>
      <x:c r="B232" s="108" t="str">
        <x:v>DW-M08</x:v>
      </x:c>
      <x:c r="C232" s="108" t="str">
        <x:v>ARCH</x:v>
      </x:c>
      <x:c r="D232" s="108" t="str">
        <x:v>nominal_width</x:v>
      </x:c>
      <x:c r="E232" s="108" t="str"/>
      <x:c r="F232" s="108" t="str">
        <x:v>900</x:v>
      </x:c>
      <x:c r="G232" s="108" t="str">
        <x:v>mm</x:v>
      </x:c>
      <x:c r="H232" s="108" t="str"/>
      <x:c r="I232" s="108" t="str">
        <x:v>ifc_observed</x:v>
      </x:c>
      <x:c r="J232" s="108" t="str">
        <x:v>observed</x:v>
      </x:c>
      <x:c r="K232" s="108" t="str">
        <x:v>IFC-FORMAL-001</x:v>
      </x:c>
      <x:c r="L232" s="108" t="str"/>
      <x:c r="M232" s="108" t="str">
        <x:v>no</x:v>
      </x:c>
      <x:c r="N232" s="108" t="str"/>
    </x:row>
    <x:row r="233" ht="34" customHeight="1">
      <x:c r="A233" s="108" t="str">
        <x:v>REQ-0231</x:v>
      </x:c>
      <x:c r="B233" s="108" t="str">
        <x:v>DW-M08</x:v>
      </x:c>
      <x:c r="C233" s="108" t="str">
        <x:v>ARCH</x:v>
      </x:c>
      <x:c r="D233" s="108" t="str">
        <x:v>nominal_height</x:v>
      </x:c>
      <x:c r="E233" s="108" t="str"/>
      <x:c r="F233" s="108" t="str">
        <x:v>2000</x:v>
      </x:c>
      <x:c r="G233" s="108" t="str">
        <x:v>mm</x:v>
      </x:c>
      <x:c r="H233" s="108" t="str"/>
      <x:c r="I233" s="108" t="str">
        <x:v>ifc_observed</x:v>
      </x:c>
      <x:c r="J233" s="108" t="str">
        <x:v>observed</x:v>
      </x:c>
      <x:c r="K233" s="108" t="str">
        <x:v>IFC-FORMAL-001</x:v>
      </x:c>
      <x:c r="L233" s="108" t="str"/>
      <x:c r="M233" s="108" t="str">
        <x:v>no</x:v>
      </x:c>
      <x:c r="N233" s="108" t="str"/>
    </x:row>
    <x:row r="234" ht="34" customHeight="1">
      <x:c r="A234" s="108" t="str">
        <x:v>REQ-0232</x:v>
      </x:c>
      <x:c r="B234" s="108" t="str">
        <x:v>DW-M08</x:v>
      </x:c>
      <x:c r="C234" s="108" t="str">
        <x:v>ARCH</x:v>
      </x:c>
      <x:c r="D234" s="108" t="str">
        <x:v>operation_type</x:v>
      </x:c>
      <x:c r="E234" s="108" t="str">
        <x:v>SINGLE_SWING_LEFT</x:v>
      </x:c>
      <x:c r="F234" s="108" t="str"/>
      <x:c r="G234" s="108" t="str"/>
      <x:c r="H234" s="108" t="str"/>
      <x:c r="I234" s="108" t="str">
        <x:v>ifc_observed</x:v>
      </x:c>
      <x:c r="J234" s="108" t="str">
        <x:v>observed</x:v>
      </x:c>
      <x:c r="K234" s="108" t="str">
        <x:v>IFC-FORMAL-001</x:v>
      </x:c>
      <x:c r="L234" s="108" t="str"/>
      <x:c r="M234" s="108" t="str">
        <x:v>no</x:v>
      </x:c>
      <x:c r="N234" s="108" t="str"/>
    </x:row>
    <x:row r="235" ht="34" customHeight="1">
      <x:c r="A235" s="108" t="str">
        <x:v>REQ-0233</x:v>
      </x:c>
      <x:c r="B235" s="108" t="str">
        <x:v>DW-M08</x:v>
      </x:c>
      <x:c r="C235" s="108" t="str">
        <x:v>ARCH</x:v>
      </x:c>
      <x:c r="D235" s="108" t="str">
        <x:v>host_relation</x:v>
      </x:c>
      <x:c r="E235" s="108" t="str">
        <x:v>HOSTED</x:v>
      </x:c>
      <x:c r="F235" s="108" t="str"/>
      <x:c r="G235" s="108" t="str"/>
      <x:c r="H235" s="108" t="str"/>
      <x:c r="I235" s="108" t="str">
        <x:v>ifc_observed</x:v>
      </x:c>
      <x:c r="J235" s="108" t="str">
        <x:v>observed</x:v>
      </x:c>
      <x:c r="K235" s="108" t="str">
        <x:v>IFC-FORMAL-001</x:v>
      </x:c>
      <x:c r="L235" s="108" t="str"/>
      <x:c r="M235" s="108" t="str">
        <x:v>no</x:v>
      </x:c>
      <x:c r="N235" s="108" t="str"/>
    </x:row>
    <x:row r="236" ht="34" customHeight="1">
      <x:c r="A236" s="108" t="str">
        <x:v>REQ-0234</x:v>
      </x:c>
      <x:c r="B236" s="108" t="str">
        <x:v>DW-M08</x:v>
      </x:c>
      <x:c r="C236" s="108" t="str">
        <x:v>ARCH</x:v>
      </x:c>
      <x:c r="D236" s="108" t="str">
        <x:v>sill_or_threshold_z</x:v>
      </x:c>
      <x:c r="E236" s="108" t="str"/>
      <x:c r="F236" s="108" t="str">
        <x:v>0.000000</x:v>
      </x:c>
      <x:c r="G236" s="108" t="str">
        <x:v>mm</x:v>
      </x:c>
      <x:c r="H236" s="108" t="str"/>
      <x:c r="I236" s="108" t="str">
        <x:v>ifc_observed</x:v>
      </x:c>
      <x:c r="J236" s="108" t="str">
        <x:v>observed</x:v>
      </x:c>
      <x:c r="K236" s="108" t="str">
        <x:v>IFC-FORMAL-001</x:v>
      </x:c>
      <x:c r="L236" s="108" t="str"/>
      <x:c r="M236" s="108" t="str">
        <x:v>no</x:v>
      </x:c>
      <x:c r="N236" s="108" t="str"/>
    </x:row>
    <x:row r="237" ht="34" customHeight="1">
      <x:c r="A237" s="108" t="str">
        <x:v>REQ-0235</x:v>
      </x:c>
      <x:c r="B237" s="108" t="str">
        <x:v>DW-W01</x:v>
      </x:c>
      <x:c r="C237" s="108" t="str">
        <x:v>ARCH</x:v>
      </x:c>
      <x:c r="D237" s="108" t="str">
        <x:v>nominal_width</x:v>
      </x:c>
      <x:c r="E237" s="108" t="str"/>
      <x:c r="F237" s="108" t="str">
        <x:v>640</x:v>
      </x:c>
      <x:c r="G237" s="108" t="str">
        <x:v>mm</x:v>
      </x:c>
      <x:c r="H237" s="108" t="str"/>
      <x:c r="I237" s="108" t="str">
        <x:v>ifc_observed</x:v>
      </x:c>
      <x:c r="J237" s="108" t="str">
        <x:v>observed</x:v>
      </x:c>
      <x:c r="K237" s="108" t="str">
        <x:v>IFC-FORMAL-001</x:v>
      </x:c>
      <x:c r="L237" s="108" t="str"/>
      <x:c r="M237" s="108" t="str">
        <x:v>no</x:v>
      </x:c>
      <x:c r="N237" s="108" t="str"/>
    </x:row>
    <x:row r="238" ht="34" customHeight="1">
      <x:c r="A238" s="108" t="str">
        <x:v>REQ-0236</x:v>
      </x:c>
      <x:c r="B238" s="108" t="str">
        <x:v>DW-W01</x:v>
      </x:c>
      <x:c r="C238" s="108" t="str">
        <x:v>ARCH</x:v>
      </x:c>
      <x:c r="D238" s="108" t="str">
        <x:v>nominal_height</x:v>
      </x:c>
      <x:c r="E238" s="108" t="str"/>
      <x:c r="F238" s="108" t="str">
        <x:v>1730</x:v>
      </x:c>
      <x:c r="G238" s="108" t="str">
        <x:v>mm</x:v>
      </x:c>
      <x:c r="H238" s="108" t="str"/>
      <x:c r="I238" s="108" t="str">
        <x:v>ifc_observed</x:v>
      </x:c>
      <x:c r="J238" s="108" t="str">
        <x:v>observed</x:v>
      </x:c>
      <x:c r="K238" s="108" t="str">
        <x:v>IFC-FORMAL-001</x:v>
      </x:c>
      <x:c r="L238" s="108" t="str"/>
      <x:c r="M238" s="108" t="str">
        <x:v>no</x:v>
      </x:c>
      <x:c r="N238" s="108" t="str"/>
    </x:row>
    <x:row r="239" ht="34" customHeight="1">
      <x:c r="A239" s="108" t="str">
        <x:v>REQ-0237</x:v>
      </x:c>
      <x:c r="B239" s="108" t="str">
        <x:v>DW-W01</x:v>
      </x:c>
      <x:c r="C239" s="108" t="str">
        <x:v>ARCH</x:v>
      </x:c>
      <x:c r="D239" s="108" t="str">
        <x:v>operation_type</x:v>
      </x:c>
      <x:c r="E239" s="108" t="str">
        <x:v>DOUBLE_PANEL_HORIZONTAL</x:v>
      </x:c>
      <x:c r="F239" s="108" t="str"/>
      <x:c r="G239" s="108" t="str"/>
      <x:c r="H239" s="108" t="str"/>
      <x:c r="I239" s="108" t="str">
        <x:v>ifc_observed</x:v>
      </x:c>
      <x:c r="J239" s="108" t="str">
        <x:v>observed</x:v>
      </x:c>
      <x:c r="K239" s="108" t="str">
        <x:v>IFC-FORMAL-001</x:v>
      </x:c>
      <x:c r="L239" s="108" t="str"/>
      <x:c r="M239" s="108" t="str">
        <x:v>no</x:v>
      </x:c>
      <x:c r="N239" s="108" t="str"/>
    </x:row>
    <x:row r="240" ht="34" customHeight="1">
      <x:c r="A240" s="108" t="str">
        <x:v>REQ-0238</x:v>
      </x:c>
      <x:c r="B240" s="108" t="str">
        <x:v>DW-W01</x:v>
      </x:c>
      <x:c r="C240" s="108" t="str">
        <x:v>ARCH</x:v>
      </x:c>
      <x:c r="D240" s="108" t="str">
        <x:v>host_relation</x:v>
      </x:c>
      <x:c r="E240" s="108" t="str">
        <x:v>HOSTED</x:v>
      </x:c>
      <x:c r="F240" s="108" t="str"/>
      <x:c r="G240" s="108" t="str"/>
      <x:c r="H240" s="108" t="str"/>
      <x:c r="I240" s="108" t="str">
        <x:v>ifc_observed</x:v>
      </x:c>
      <x:c r="J240" s="108" t="str">
        <x:v>observed</x:v>
      </x:c>
      <x:c r="K240" s="108" t="str">
        <x:v>IFC-FORMAL-001</x:v>
      </x:c>
      <x:c r="L240" s="108" t="str"/>
      <x:c r="M240" s="108" t="str">
        <x:v>no</x:v>
      </x:c>
      <x:c r="N240" s="108" t="str"/>
    </x:row>
    <x:row r="241" ht="34" customHeight="1">
      <x:c r="A241" s="108" t="str">
        <x:v>REQ-0239</x:v>
      </x:c>
      <x:c r="B241" s="108" t="str">
        <x:v>DW-W01</x:v>
      </x:c>
      <x:c r="C241" s="108" t="str">
        <x:v>ARCH</x:v>
      </x:c>
      <x:c r="D241" s="108" t="str">
        <x:v>sill_or_threshold_z</x:v>
      </x:c>
      <x:c r="E241" s="108" t="str"/>
      <x:c r="F241" s="108" t="str">
        <x:v>704.000000</x:v>
      </x:c>
      <x:c r="G241" s="108" t="str">
        <x:v>mm</x:v>
      </x:c>
      <x:c r="H241" s="108" t="str"/>
      <x:c r="I241" s="108" t="str">
        <x:v>ifc_observed</x:v>
      </x:c>
      <x:c r="J241" s="108" t="str">
        <x:v>observed</x:v>
      </x:c>
      <x:c r="K241" s="108" t="str">
        <x:v>IFC-FORMAL-001</x:v>
      </x:c>
      <x:c r="L241" s="108" t="str"/>
      <x:c r="M241" s="108" t="str">
        <x:v>no</x:v>
      </x:c>
      <x:c r="N241" s="108" t="str"/>
    </x:row>
    <x:row r="242" ht="34" customHeight="1">
      <x:c r="A242" s="108" t="str">
        <x:v>REQ-0240</x:v>
      </x:c>
      <x:c r="B242" s="108" t="str">
        <x:v>DW-W02</x:v>
      </x:c>
      <x:c r="C242" s="108" t="str">
        <x:v>ARCH</x:v>
      </x:c>
      <x:c r="D242" s="108" t="str">
        <x:v>nominal_width</x:v>
      </x:c>
      <x:c r="E242" s="108" t="str"/>
      <x:c r="F242" s="108" t="str">
        <x:v>1180</x:v>
      </x:c>
      <x:c r="G242" s="108" t="str">
        <x:v>mm</x:v>
      </x:c>
      <x:c r="H242" s="108" t="str"/>
      <x:c r="I242" s="108" t="str">
        <x:v>ifc_observed</x:v>
      </x:c>
      <x:c r="J242" s="108" t="str">
        <x:v>observed</x:v>
      </x:c>
      <x:c r="K242" s="108" t="str">
        <x:v>IFC-FORMAL-001</x:v>
      </x:c>
      <x:c r="L242" s="108" t="str"/>
      <x:c r="M242" s="108" t="str">
        <x:v>no</x:v>
      </x:c>
      <x:c r="N242" s="108" t="str"/>
    </x:row>
    <x:row r="243" ht="34" customHeight="1">
      <x:c r="A243" s="108" t="str">
        <x:v>REQ-0241</x:v>
      </x:c>
      <x:c r="B243" s="108" t="str">
        <x:v>DW-W02</x:v>
      </x:c>
      <x:c r="C243" s="108" t="str">
        <x:v>ARCH</x:v>
      </x:c>
      <x:c r="D243" s="108" t="str">
        <x:v>nominal_height</x:v>
      </x:c>
      <x:c r="E243" s="108" t="str"/>
      <x:c r="F243" s="108" t="str">
        <x:v>1780</x:v>
      </x:c>
      <x:c r="G243" s="108" t="str">
        <x:v>mm</x:v>
      </x:c>
      <x:c r="H243" s="108" t="str"/>
      <x:c r="I243" s="108" t="str">
        <x:v>ifc_observed</x:v>
      </x:c>
      <x:c r="J243" s="108" t="str">
        <x:v>observed</x:v>
      </x:c>
      <x:c r="K243" s="108" t="str">
        <x:v>IFC-FORMAL-001</x:v>
      </x:c>
      <x:c r="L243" s="108" t="str"/>
      <x:c r="M243" s="108" t="str">
        <x:v>no</x:v>
      </x:c>
      <x:c r="N243" s="108" t="str"/>
    </x:row>
    <x:row r="244" ht="34" customHeight="1">
      <x:c r="A244" s="108" t="str">
        <x:v>REQ-0242</x:v>
      </x:c>
      <x:c r="B244" s="108" t="str">
        <x:v>DW-W02</x:v>
      </x:c>
      <x:c r="C244" s="108" t="str">
        <x:v>ARCH</x:v>
      </x:c>
      <x:c r="D244" s="108" t="str">
        <x:v>operation_type</x:v>
      </x:c>
      <x:c r="E244" s="108" t="str">
        <x:v>TRIPLE_PANEL_RIGHT</x:v>
      </x:c>
      <x:c r="F244" s="108" t="str"/>
      <x:c r="G244" s="108" t="str"/>
      <x:c r="H244" s="108" t="str"/>
      <x:c r="I244" s="108" t="str">
        <x:v>ifc_observed</x:v>
      </x:c>
      <x:c r="J244" s="108" t="str">
        <x:v>observed</x:v>
      </x:c>
      <x:c r="K244" s="108" t="str">
        <x:v>IFC-FORMAL-001</x:v>
      </x:c>
      <x:c r="L244" s="108" t="str"/>
      <x:c r="M244" s="108" t="str">
        <x:v>no</x:v>
      </x:c>
      <x:c r="N244" s="108" t="str"/>
    </x:row>
    <x:row r="245" ht="34" customHeight="1">
      <x:c r="A245" s="108" t="str">
        <x:v>REQ-0243</x:v>
      </x:c>
      <x:c r="B245" s="108" t="str">
        <x:v>DW-W02</x:v>
      </x:c>
      <x:c r="C245" s="108" t="str">
        <x:v>ARCH</x:v>
      </x:c>
      <x:c r="D245" s="108" t="str">
        <x:v>host_relation</x:v>
      </x:c>
      <x:c r="E245" s="108" t="str">
        <x:v>HOSTED</x:v>
      </x:c>
      <x:c r="F245" s="108" t="str"/>
      <x:c r="G245" s="108" t="str"/>
      <x:c r="H245" s="108" t="str"/>
      <x:c r="I245" s="108" t="str">
        <x:v>ifc_observed</x:v>
      </x:c>
      <x:c r="J245" s="108" t="str">
        <x:v>observed</x:v>
      </x:c>
      <x:c r="K245" s="108" t="str">
        <x:v>IFC-FORMAL-001</x:v>
      </x:c>
      <x:c r="L245" s="108" t="str"/>
      <x:c r="M245" s="108" t="str">
        <x:v>no</x:v>
      </x:c>
      <x:c r="N245" s="108" t="str"/>
    </x:row>
    <x:row r="246" ht="34" customHeight="1">
      <x:c r="A246" s="108" t="str">
        <x:v>REQ-0244</x:v>
      </x:c>
      <x:c r="B246" s="108" t="str">
        <x:v>DW-W02</x:v>
      </x:c>
      <x:c r="C246" s="108" t="str">
        <x:v>ARCH</x:v>
      </x:c>
      <x:c r="D246" s="108" t="str">
        <x:v>sill_or_threshold_z</x:v>
      </x:c>
      <x:c r="E246" s="108" t="str"/>
      <x:c r="F246" s="108" t="str">
        <x:v>670.000000</x:v>
      </x:c>
      <x:c r="G246" s="108" t="str">
        <x:v>mm</x:v>
      </x:c>
      <x:c r="H246" s="108" t="str"/>
      <x:c r="I246" s="108" t="str">
        <x:v>ifc_observed</x:v>
      </x:c>
      <x:c r="J246" s="108" t="str">
        <x:v>observed</x:v>
      </x:c>
      <x:c r="K246" s="108" t="str">
        <x:v>IFC-FORMAL-001</x:v>
      </x:c>
      <x:c r="L246" s="108" t="str"/>
      <x:c r="M246" s="108" t="str">
        <x:v>no</x:v>
      </x:c>
      <x:c r="N246" s="108" t="str"/>
    </x:row>
    <x:row r="247" ht="34" customHeight="1">
      <x:c r="A247" s="108" t="str">
        <x:v>REQ-0245</x:v>
      </x:c>
      <x:c r="B247" s="108" t="str">
        <x:v>DW-W03</x:v>
      </x:c>
      <x:c r="C247" s="108" t="str">
        <x:v>ARCH</x:v>
      </x:c>
      <x:c r="D247" s="108" t="str">
        <x:v>nominal_width</x:v>
      </x:c>
      <x:c r="E247" s="108" t="str"/>
      <x:c r="F247" s="108" t="str">
        <x:v>1180</x:v>
      </x:c>
      <x:c r="G247" s="108" t="str">
        <x:v>mm</x:v>
      </x:c>
      <x:c r="H247" s="108" t="str"/>
      <x:c r="I247" s="108" t="str">
        <x:v>ifc_observed</x:v>
      </x:c>
      <x:c r="J247" s="108" t="str">
        <x:v>observed</x:v>
      </x:c>
      <x:c r="K247" s="108" t="str">
        <x:v>IFC-FORMAL-001</x:v>
      </x:c>
      <x:c r="L247" s="108" t="str"/>
      <x:c r="M247" s="108" t="str">
        <x:v>no</x:v>
      </x:c>
      <x:c r="N247" s="108" t="str"/>
    </x:row>
    <x:row r="248" ht="34" customHeight="1">
      <x:c r="A248" s="108" t="str">
        <x:v>REQ-0246</x:v>
      </x:c>
      <x:c r="B248" s="108" t="str">
        <x:v>DW-W03</x:v>
      </x:c>
      <x:c r="C248" s="108" t="str">
        <x:v>ARCH</x:v>
      </x:c>
      <x:c r="D248" s="108" t="str">
        <x:v>nominal_height</x:v>
      </x:c>
      <x:c r="E248" s="108" t="str"/>
      <x:c r="F248" s="108" t="str">
        <x:v>1780</x:v>
      </x:c>
      <x:c r="G248" s="108" t="str">
        <x:v>mm</x:v>
      </x:c>
      <x:c r="H248" s="108" t="str"/>
      <x:c r="I248" s="108" t="str">
        <x:v>ifc_observed</x:v>
      </x:c>
      <x:c r="J248" s="108" t="str">
        <x:v>observed</x:v>
      </x:c>
      <x:c r="K248" s="108" t="str">
        <x:v>IFC-FORMAL-001</x:v>
      </x:c>
      <x:c r="L248" s="108" t="str"/>
      <x:c r="M248" s="108" t="str">
        <x:v>no</x:v>
      </x:c>
      <x:c r="N248" s="108" t="str"/>
    </x:row>
    <x:row r="249" ht="34" customHeight="1">
      <x:c r="A249" s="108" t="str">
        <x:v>REQ-0247</x:v>
      </x:c>
      <x:c r="B249" s="108" t="str">
        <x:v>DW-W03</x:v>
      </x:c>
      <x:c r="C249" s="108" t="str">
        <x:v>ARCH</x:v>
      </x:c>
      <x:c r="D249" s="108" t="str">
        <x:v>operation_type</x:v>
      </x:c>
      <x:c r="E249" s="108" t="str">
        <x:v>TRIPLE_PANEL_RIGHT</x:v>
      </x:c>
      <x:c r="F249" s="108" t="str"/>
      <x:c r="G249" s="108" t="str"/>
      <x:c r="H249" s="108" t="str"/>
      <x:c r="I249" s="108" t="str">
        <x:v>ifc_observed</x:v>
      </x:c>
      <x:c r="J249" s="108" t="str">
        <x:v>observed</x:v>
      </x:c>
      <x:c r="K249" s="108" t="str">
        <x:v>IFC-FORMAL-001</x:v>
      </x:c>
      <x:c r="L249" s="108" t="str"/>
      <x:c r="M249" s="108" t="str">
        <x:v>no</x:v>
      </x:c>
      <x:c r="N249" s="108" t="str"/>
    </x:row>
    <x:row r="250" ht="34" customHeight="1">
      <x:c r="A250" s="108" t="str">
        <x:v>REQ-0248</x:v>
      </x:c>
      <x:c r="B250" s="108" t="str">
        <x:v>DW-W03</x:v>
      </x:c>
      <x:c r="C250" s="108" t="str">
        <x:v>ARCH</x:v>
      </x:c>
      <x:c r="D250" s="108" t="str">
        <x:v>host_relation</x:v>
      </x:c>
      <x:c r="E250" s="108" t="str">
        <x:v>HOSTED</x:v>
      </x:c>
      <x:c r="F250" s="108" t="str"/>
      <x:c r="G250" s="108" t="str"/>
      <x:c r="H250" s="108" t="str"/>
      <x:c r="I250" s="108" t="str">
        <x:v>ifc_observed</x:v>
      </x:c>
      <x:c r="J250" s="108" t="str">
        <x:v>observed</x:v>
      </x:c>
      <x:c r="K250" s="108" t="str">
        <x:v>IFC-FORMAL-001</x:v>
      </x:c>
      <x:c r="L250" s="108" t="str"/>
      <x:c r="M250" s="108" t="str">
        <x:v>no</x:v>
      </x:c>
      <x:c r="N250" s="108" t="str"/>
    </x:row>
    <x:row r="251" ht="34" customHeight="1">
      <x:c r="A251" s="108" t="str">
        <x:v>REQ-0249</x:v>
      </x:c>
      <x:c r="B251" s="108" t="str">
        <x:v>DW-W03</x:v>
      </x:c>
      <x:c r="C251" s="108" t="str">
        <x:v>ARCH</x:v>
      </x:c>
      <x:c r="D251" s="108" t="str">
        <x:v>sill_or_threshold_z</x:v>
      </x:c>
      <x:c r="E251" s="108" t="str"/>
      <x:c r="F251" s="108" t="str">
        <x:v>670.000000</x:v>
      </x:c>
      <x:c r="G251" s="108" t="str">
        <x:v>mm</x:v>
      </x:c>
      <x:c r="H251" s="108" t="str"/>
      <x:c r="I251" s="108" t="str">
        <x:v>ifc_observed</x:v>
      </x:c>
      <x:c r="J251" s="108" t="str">
        <x:v>observed</x:v>
      </x:c>
      <x:c r="K251" s="108" t="str">
        <x:v>IFC-FORMAL-001</x:v>
      </x:c>
      <x:c r="L251" s="108" t="str"/>
      <x:c r="M251" s="108" t="str">
        <x:v>no</x:v>
      </x:c>
      <x:c r="N251" s="108" t="str"/>
    </x:row>
    <x:row r="252" ht="34" customHeight="1">
      <x:c r="A252" s="108" t="str">
        <x:v>REQ-0250</x:v>
      </x:c>
      <x:c r="B252" s="108" t="str">
        <x:v>DW-W04</x:v>
      </x:c>
      <x:c r="C252" s="108" t="str">
        <x:v>ARCH</x:v>
      </x:c>
      <x:c r="D252" s="108" t="str">
        <x:v>nominal_width</x:v>
      </x:c>
      <x:c r="E252" s="108" t="str"/>
      <x:c r="F252" s="108" t="str">
        <x:v>1560</x:v>
      </x:c>
      <x:c r="G252" s="108" t="str">
        <x:v>mm</x:v>
      </x:c>
      <x:c r="H252" s="108" t="str"/>
      <x:c r="I252" s="108" t="str">
        <x:v>ifc_observed</x:v>
      </x:c>
      <x:c r="J252" s="108" t="str">
        <x:v>observed</x:v>
      </x:c>
      <x:c r="K252" s="108" t="str">
        <x:v>IFC-FORMAL-001</x:v>
      </x:c>
      <x:c r="L252" s="108" t="str"/>
      <x:c r="M252" s="108" t="str">
        <x:v>no</x:v>
      </x:c>
      <x:c r="N252" s="108" t="str"/>
    </x:row>
    <x:row r="253" ht="34" customHeight="1">
      <x:c r="A253" s="108" t="str">
        <x:v>REQ-0251</x:v>
      </x:c>
      <x:c r="B253" s="108" t="str">
        <x:v>DW-W04</x:v>
      </x:c>
      <x:c r="C253" s="108" t="str">
        <x:v>ARCH</x:v>
      </x:c>
      <x:c r="D253" s="108" t="str">
        <x:v>nominal_height</x:v>
      </x:c>
      <x:c r="E253" s="108" t="str"/>
      <x:c r="F253" s="108" t="str">
        <x:v>1780</x:v>
      </x:c>
      <x:c r="G253" s="108" t="str">
        <x:v>mm</x:v>
      </x:c>
      <x:c r="H253" s="108" t="str"/>
      <x:c r="I253" s="108" t="str">
        <x:v>ifc_observed</x:v>
      </x:c>
      <x:c r="J253" s="108" t="str">
        <x:v>observed</x:v>
      </x:c>
      <x:c r="K253" s="108" t="str">
        <x:v>IFC-FORMAL-001</x:v>
      </x:c>
      <x:c r="L253" s="108" t="str"/>
      <x:c r="M253" s="108" t="str">
        <x:v>no</x:v>
      </x:c>
      <x:c r="N253" s="108" t="str"/>
    </x:row>
    <x:row r="254" ht="34" customHeight="1">
      <x:c r="A254" s="108" t="str">
        <x:v>REQ-0252</x:v>
      </x:c>
      <x:c r="B254" s="108" t="str">
        <x:v>DW-W04</x:v>
      </x:c>
      <x:c r="C254" s="108" t="str">
        <x:v>ARCH</x:v>
      </x:c>
      <x:c r="D254" s="108" t="str">
        <x:v>operation_type</x:v>
      </x:c>
      <x:c r="E254" s="108" t="str">
        <x:v>TRIPLE_PANEL_RIGHT</x:v>
      </x:c>
      <x:c r="F254" s="108" t="str"/>
      <x:c r="G254" s="108" t="str"/>
      <x:c r="H254" s="108" t="str"/>
      <x:c r="I254" s="108" t="str">
        <x:v>ifc_observed</x:v>
      </x:c>
      <x:c r="J254" s="108" t="str">
        <x:v>observed</x:v>
      </x:c>
      <x:c r="K254" s="108" t="str">
        <x:v>IFC-FORMAL-001</x:v>
      </x:c>
      <x:c r="L254" s="108" t="str"/>
      <x:c r="M254" s="108" t="str">
        <x:v>no</x:v>
      </x:c>
      <x:c r="N254" s="108" t="str"/>
    </x:row>
    <x:row r="255" ht="34" customHeight="1">
      <x:c r="A255" s="108" t="str">
        <x:v>REQ-0253</x:v>
      </x:c>
      <x:c r="B255" s="108" t="str">
        <x:v>DW-W04</x:v>
      </x:c>
      <x:c r="C255" s="108" t="str">
        <x:v>ARCH</x:v>
      </x:c>
      <x:c r="D255" s="108" t="str">
        <x:v>host_relation</x:v>
      </x:c>
      <x:c r="E255" s="108" t="str">
        <x:v>HOSTED</x:v>
      </x:c>
      <x:c r="F255" s="108" t="str"/>
      <x:c r="G255" s="108" t="str"/>
      <x:c r="H255" s="108" t="str"/>
      <x:c r="I255" s="108" t="str">
        <x:v>ifc_observed</x:v>
      </x:c>
      <x:c r="J255" s="108" t="str">
        <x:v>observed</x:v>
      </x:c>
      <x:c r="K255" s="108" t="str">
        <x:v>IFC-FORMAL-001</x:v>
      </x:c>
      <x:c r="L255" s="108" t="str"/>
      <x:c r="M255" s="108" t="str">
        <x:v>no</x:v>
      </x:c>
      <x:c r="N255" s="108" t="str"/>
    </x:row>
    <x:row r="256" ht="34" customHeight="1">
      <x:c r="A256" s="108" t="str">
        <x:v>REQ-0254</x:v>
      </x:c>
      <x:c r="B256" s="108" t="str">
        <x:v>DW-W04</x:v>
      </x:c>
      <x:c r="C256" s="108" t="str">
        <x:v>ARCH</x:v>
      </x:c>
      <x:c r="D256" s="108" t="str">
        <x:v>sill_or_threshold_z</x:v>
      </x:c>
      <x:c r="E256" s="108" t="str"/>
      <x:c r="F256" s="108" t="str">
        <x:v>670.000000</x:v>
      </x:c>
      <x:c r="G256" s="108" t="str">
        <x:v>mm</x:v>
      </x:c>
      <x:c r="H256" s="108" t="str"/>
      <x:c r="I256" s="108" t="str">
        <x:v>ifc_observed</x:v>
      </x:c>
      <x:c r="J256" s="108" t="str">
        <x:v>observed</x:v>
      </x:c>
      <x:c r="K256" s="108" t="str">
        <x:v>IFC-FORMAL-001</x:v>
      </x:c>
      <x:c r="L256" s="108" t="str"/>
      <x:c r="M256" s="108" t="str">
        <x:v>no</x:v>
      </x:c>
      <x:c r="N256" s="108" t="str"/>
    </x:row>
    <x:row r="257" ht="34" customHeight="1">
      <x:c r="A257" s="108" t="str">
        <x:v>REQ-0255</x:v>
      </x:c>
      <x:c r="B257" s="108" t="str">
        <x:v>DW-W05</x:v>
      </x:c>
      <x:c r="C257" s="108" t="str">
        <x:v>ARCH</x:v>
      </x:c>
      <x:c r="D257" s="108" t="str">
        <x:v>nominal_width</x:v>
      </x:c>
      <x:c r="E257" s="108" t="str"/>
      <x:c r="F257" s="108" t="str">
        <x:v>640</x:v>
      </x:c>
      <x:c r="G257" s="108" t="str">
        <x:v>mm</x:v>
      </x:c>
      <x:c r="H257" s="108" t="str"/>
      <x:c r="I257" s="108" t="str">
        <x:v>ifc_observed</x:v>
      </x:c>
      <x:c r="J257" s="108" t="str">
        <x:v>observed</x:v>
      </x:c>
      <x:c r="K257" s="108" t="str">
        <x:v>IFC-FORMAL-001</x:v>
      </x:c>
      <x:c r="L257" s="108" t="str"/>
      <x:c r="M257" s="108" t="str">
        <x:v>no</x:v>
      </x:c>
      <x:c r="N257" s="108" t="str"/>
    </x:row>
    <x:row r="258" ht="34" customHeight="1">
      <x:c r="A258" s="108" t="str">
        <x:v>REQ-0256</x:v>
      </x:c>
      <x:c r="B258" s="108" t="str">
        <x:v>DW-W05</x:v>
      </x:c>
      <x:c r="C258" s="108" t="str">
        <x:v>ARCH</x:v>
      </x:c>
      <x:c r="D258" s="108" t="str">
        <x:v>nominal_height</x:v>
      </x:c>
      <x:c r="E258" s="108" t="str"/>
      <x:c r="F258" s="108" t="str">
        <x:v>1730</x:v>
      </x:c>
      <x:c r="G258" s="108" t="str">
        <x:v>mm</x:v>
      </x:c>
      <x:c r="H258" s="108" t="str"/>
      <x:c r="I258" s="108" t="str">
        <x:v>ifc_observed</x:v>
      </x:c>
      <x:c r="J258" s="108" t="str">
        <x:v>observed</x:v>
      </x:c>
      <x:c r="K258" s="108" t="str">
        <x:v>IFC-FORMAL-001</x:v>
      </x:c>
      <x:c r="L258" s="108" t="str"/>
      <x:c r="M258" s="108" t="str">
        <x:v>no</x:v>
      </x:c>
      <x:c r="N258" s="108" t="str"/>
    </x:row>
    <x:row r="259" ht="34" customHeight="1">
      <x:c r="A259" s="108" t="str">
        <x:v>REQ-0257</x:v>
      </x:c>
      <x:c r="B259" s="108" t="str">
        <x:v>DW-W05</x:v>
      </x:c>
      <x:c r="C259" s="108" t="str">
        <x:v>ARCH</x:v>
      </x:c>
      <x:c r="D259" s="108" t="str">
        <x:v>operation_type</x:v>
      </x:c>
      <x:c r="E259" s="108" t="str">
        <x:v>DOUBLE_PANEL_HORIZONTAL</x:v>
      </x:c>
      <x:c r="F259" s="108" t="str"/>
      <x:c r="G259" s="108" t="str"/>
      <x:c r="H259" s="108" t="str"/>
      <x:c r="I259" s="108" t="str">
        <x:v>ifc_observed</x:v>
      </x:c>
      <x:c r="J259" s="108" t="str">
        <x:v>observed</x:v>
      </x:c>
      <x:c r="K259" s="108" t="str">
        <x:v>IFC-FORMAL-001</x:v>
      </x:c>
      <x:c r="L259" s="108" t="str"/>
      <x:c r="M259" s="108" t="str">
        <x:v>no</x:v>
      </x:c>
      <x:c r="N259" s="108" t="str"/>
    </x:row>
    <x:row r="260" ht="34" customHeight="1">
      <x:c r="A260" s="108" t="str">
        <x:v>REQ-0258</x:v>
      </x:c>
      <x:c r="B260" s="108" t="str">
        <x:v>DW-W05</x:v>
      </x:c>
      <x:c r="C260" s="108" t="str">
        <x:v>ARCH</x:v>
      </x:c>
      <x:c r="D260" s="108" t="str">
        <x:v>host_relation</x:v>
      </x:c>
      <x:c r="E260" s="108" t="str">
        <x:v>HOSTED</x:v>
      </x:c>
      <x:c r="F260" s="108" t="str"/>
      <x:c r="G260" s="108" t="str"/>
      <x:c r="H260" s="108" t="str"/>
      <x:c r="I260" s="108" t="str">
        <x:v>ifc_observed</x:v>
      </x:c>
      <x:c r="J260" s="108" t="str">
        <x:v>observed</x:v>
      </x:c>
      <x:c r="K260" s="108" t="str">
        <x:v>IFC-FORMAL-001</x:v>
      </x:c>
      <x:c r="L260" s="108" t="str"/>
      <x:c r="M260" s="108" t="str">
        <x:v>no</x:v>
      </x:c>
      <x:c r="N260" s="108" t="str"/>
    </x:row>
    <x:row r="261" ht="34" customHeight="1">
      <x:c r="A261" s="108" t="str">
        <x:v>REQ-0259</x:v>
      </x:c>
      <x:c r="B261" s="108" t="str">
        <x:v>DW-W05</x:v>
      </x:c>
      <x:c r="C261" s="108" t="str">
        <x:v>ARCH</x:v>
      </x:c>
      <x:c r="D261" s="108" t="str">
        <x:v>sill_or_threshold_z</x:v>
      </x:c>
      <x:c r="E261" s="108" t="str"/>
      <x:c r="F261" s="108" t="str">
        <x:v>710.000000</x:v>
      </x:c>
      <x:c r="G261" s="108" t="str">
        <x:v>mm</x:v>
      </x:c>
      <x:c r="H261" s="108" t="str"/>
      <x:c r="I261" s="108" t="str">
        <x:v>ifc_observed</x:v>
      </x:c>
      <x:c r="J261" s="108" t="str">
        <x:v>observed</x:v>
      </x:c>
      <x:c r="K261" s="108" t="str">
        <x:v>IFC-FORMAL-001</x:v>
      </x:c>
      <x:c r="L261" s="108" t="str"/>
      <x:c r="M261" s="108" t="str">
        <x:v>no</x:v>
      </x:c>
      <x:c r="N261" s="108" t="str"/>
    </x:row>
    <x:row r="262" ht="34" customHeight="1">
      <x:c r="A262" s="108" t="str">
        <x:v>REQ-0260</x:v>
      </x:c>
      <x:c r="B262" s="108" t="str">
        <x:v>DW-W06</x:v>
      </x:c>
      <x:c r="C262" s="108" t="str">
        <x:v>ARCH</x:v>
      </x:c>
      <x:c r="D262" s="108" t="str">
        <x:v>nominal_width</x:v>
      </x:c>
      <x:c r="E262" s="108" t="str"/>
      <x:c r="F262" s="108" t="str">
        <x:v>430</x:v>
      </x:c>
      <x:c r="G262" s="108" t="str">
        <x:v>mm</x:v>
      </x:c>
      <x:c r="H262" s="108" t="str"/>
      <x:c r="I262" s="108" t="str">
        <x:v>ifc_observed</x:v>
      </x:c>
      <x:c r="J262" s="108" t="str">
        <x:v>observed</x:v>
      </x:c>
      <x:c r="K262" s="108" t="str">
        <x:v>IFC-FORMAL-001</x:v>
      </x:c>
      <x:c r="L262" s="108" t="str"/>
      <x:c r="M262" s="108" t="str">
        <x:v>no</x:v>
      </x:c>
      <x:c r="N262" s="108" t="str"/>
    </x:row>
    <x:row r="263" ht="34" customHeight="1">
      <x:c r="A263" s="108" t="str">
        <x:v>REQ-0261</x:v>
      </x:c>
      <x:c r="B263" s="108" t="str">
        <x:v>DW-W06</x:v>
      </x:c>
      <x:c r="C263" s="108" t="str">
        <x:v>ARCH</x:v>
      </x:c>
      <x:c r="D263" s="108" t="str">
        <x:v>nominal_height</x:v>
      </x:c>
      <x:c r="E263" s="108" t="str"/>
      <x:c r="F263" s="108" t="str">
        <x:v>1780</x:v>
      </x:c>
      <x:c r="G263" s="108" t="str">
        <x:v>mm</x:v>
      </x:c>
      <x:c r="H263" s="108" t="str"/>
      <x:c r="I263" s="108" t="str">
        <x:v>ifc_observed</x:v>
      </x:c>
      <x:c r="J263" s="108" t="str">
        <x:v>observed</x:v>
      </x:c>
      <x:c r="K263" s="108" t="str">
        <x:v>IFC-FORMAL-001</x:v>
      </x:c>
      <x:c r="L263" s="108" t="str"/>
      <x:c r="M263" s="108" t="str">
        <x:v>no</x:v>
      </x:c>
      <x:c r="N263" s="108" t="str"/>
    </x:row>
    <x:row r="264" ht="34" customHeight="1">
      <x:c r="A264" s="108" t="str">
        <x:v>REQ-0262</x:v>
      </x:c>
      <x:c r="B264" s="108" t="str">
        <x:v>DW-W06</x:v>
      </x:c>
      <x:c r="C264" s="108" t="str">
        <x:v>ARCH</x:v>
      </x:c>
      <x:c r="D264" s="108" t="str">
        <x:v>operation_type</x:v>
      </x:c>
      <x:c r="E264" s="108" t="str">
        <x:v>SINGLE_PANEL</x:v>
      </x:c>
      <x:c r="F264" s="108" t="str"/>
      <x:c r="G264" s="108" t="str"/>
      <x:c r="H264" s="108" t="str"/>
      <x:c r="I264" s="108" t="str">
        <x:v>ifc_observed</x:v>
      </x:c>
      <x:c r="J264" s="108" t="str">
        <x:v>observed</x:v>
      </x:c>
      <x:c r="K264" s="108" t="str">
        <x:v>IFC-FORMAL-001</x:v>
      </x:c>
      <x:c r="L264" s="108" t="str"/>
      <x:c r="M264" s="108" t="str">
        <x:v>no</x:v>
      </x:c>
      <x:c r="N264" s="108" t="str"/>
    </x:row>
    <x:row r="265" ht="34" customHeight="1">
      <x:c r="A265" s="108" t="str">
        <x:v>REQ-0263</x:v>
      </x:c>
      <x:c r="B265" s="108" t="str">
        <x:v>DW-W06</x:v>
      </x:c>
      <x:c r="C265" s="108" t="str">
        <x:v>ARCH</x:v>
      </x:c>
      <x:c r="D265" s="108" t="str">
        <x:v>host_relation</x:v>
      </x:c>
      <x:c r="E265" s="108" t="str">
        <x:v>HOSTED</x:v>
      </x:c>
      <x:c r="F265" s="108" t="str"/>
      <x:c r="G265" s="108" t="str"/>
      <x:c r="H265" s="108" t="str"/>
      <x:c r="I265" s="108" t="str">
        <x:v>ifc_observed</x:v>
      </x:c>
      <x:c r="J265" s="108" t="str">
        <x:v>observed</x:v>
      </x:c>
      <x:c r="K265" s="108" t="str">
        <x:v>IFC-FORMAL-001</x:v>
      </x:c>
      <x:c r="L265" s="108" t="str"/>
      <x:c r="M265" s="108" t="str">
        <x:v>no</x:v>
      </x:c>
      <x:c r="N265" s="108" t="str"/>
    </x:row>
    <x:row r="266" ht="34" customHeight="1">
      <x:c r="A266" s="108" t="str">
        <x:v>REQ-0264</x:v>
      </x:c>
      <x:c r="B266" s="108" t="str">
        <x:v>DW-W06</x:v>
      </x:c>
      <x:c r="C266" s="108" t="str">
        <x:v>ARCH</x:v>
      </x:c>
      <x:c r="D266" s="108" t="str">
        <x:v>sill_or_threshold_z</x:v>
      </x:c>
      <x:c r="E266" s="108" t="str"/>
      <x:c r="F266" s="108" t="str">
        <x:v>670.000000</x:v>
      </x:c>
      <x:c r="G266" s="108" t="str">
        <x:v>mm</x:v>
      </x:c>
      <x:c r="H266" s="108" t="str"/>
      <x:c r="I266" s="108" t="str">
        <x:v>ifc_observed</x:v>
      </x:c>
      <x:c r="J266" s="108" t="str">
        <x:v>observed</x:v>
      </x:c>
      <x:c r="K266" s="108" t="str">
        <x:v>IFC-FORMAL-001</x:v>
      </x:c>
      <x:c r="L266" s="108" t="str"/>
      <x:c r="M266" s="108" t="str">
        <x:v>no</x:v>
      </x:c>
      <x:c r="N266" s="108" t="str"/>
    </x:row>
    <x:row r="267" ht="34" customHeight="1">
      <x:c r="A267" s="108" t="str">
        <x:v>REQ-0265</x:v>
      </x:c>
      <x:c r="B267" s="108" t="str">
        <x:v>DW-W07</x:v>
      </x:c>
      <x:c r="C267" s="108" t="str">
        <x:v>ARCH</x:v>
      </x:c>
      <x:c r="D267" s="108" t="str">
        <x:v>nominal_width</x:v>
      </x:c>
      <x:c r="E267" s="108" t="str"/>
      <x:c r="F267" s="108" t="str">
        <x:v>680</x:v>
      </x:c>
      <x:c r="G267" s="108" t="str">
        <x:v>mm</x:v>
      </x:c>
      <x:c r="H267" s="108" t="str"/>
      <x:c r="I267" s="108" t="str">
        <x:v>ifc_observed</x:v>
      </x:c>
      <x:c r="J267" s="108" t="str">
        <x:v>observed</x:v>
      </x:c>
      <x:c r="K267" s="108" t="str">
        <x:v>IFC-FORMAL-001</x:v>
      </x:c>
      <x:c r="L267" s="108" t="str"/>
      <x:c r="M267" s="108" t="str">
        <x:v>no</x:v>
      </x:c>
      <x:c r="N267" s="108" t="str"/>
    </x:row>
    <x:row r="268" ht="34" customHeight="1">
      <x:c r="A268" s="108" t="str">
        <x:v>REQ-0266</x:v>
      </x:c>
      <x:c r="B268" s="108" t="str">
        <x:v>DW-W07</x:v>
      </x:c>
      <x:c r="C268" s="108" t="str">
        <x:v>ARCH</x:v>
      </x:c>
      <x:c r="D268" s="108" t="str">
        <x:v>nominal_height</x:v>
      </x:c>
      <x:c r="E268" s="108" t="str"/>
      <x:c r="F268" s="108" t="str">
        <x:v>1780</x:v>
      </x:c>
      <x:c r="G268" s="108" t="str">
        <x:v>mm</x:v>
      </x:c>
      <x:c r="H268" s="108" t="str"/>
      <x:c r="I268" s="108" t="str">
        <x:v>ifc_observed</x:v>
      </x:c>
      <x:c r="J268" s="108" t="str">
        <x:v>observed</x:v>
      </x:c>
      <x:c r="K268" s="108" t="str">
        <x:v>IFC-FORMAL-001</x:v>
      </x:c>
      <x:c r="L268" s="108" t="str"/>
      <x:c r="M268" s="108" t="str">
        <x:v>no</x:v>
      </x:c>
      <x:c r="N268" s="108" t="str"/>
    </x:row>
    <x:row r="269" ht="34" customHeight="1">
      <x:c r="A269" s="108" t="str">
        <x:v>REQ-0267</x:v>
      </x:c>
      <x:c r="B269" s="108" t="str">
        <x:v>DW-W07</x:v>
      </x:c>
      <x:c r="C269" s="108" t="str">
        <x:v>ARCH</x:v>
      </x:c>
      <x:c r="D269" s="108" t="str">
        <x:v>operation_type</x:v>
      </x:c>
      <x:c r="E269" s="108" t="str">
        <x:v>DOUBLE_PANEL_HORIZONTAL</x:v>
      </x:c>
      <x:c r="F269" s="108" t="str"/>
      <x:c r="G269" s="108" t="str"/>
      <x:c r="H269" s="108" t="str"/>
      <x:c r="I269" s="108" t="str">
        <x:v>ifc_observed</x:v>
      </x:c>
      <x:c r="J269" s="108" t="str">
        <x:v>observed</x:v>
      </x:c>
      <x:c r="K269" s="108" t="str">
        <x:v>IFC-FORMAL-001</x:v>
      </x:c>
      <x:c r="L269" s="108" t="str"/>
      <x:c r="M269" s="108" t="str">
        <x:v>no</x:v>
      </x:c>
      <x:c r="N269" s="108" t="str"/>
    </x:row>
    <x:row r="270" ht="34" customHeight="1">
      <x:c r="A270" s="108" t="str">
        <x:v>REQ-0268</x:v>
      </x:c>
      <x:c r="B270" s="108" t="str">
        <x:v>DW-W07</x:v>
      </x:c>
      <x:c r="C270" s="108" t="str">
        <x:v>ARCH</x:v>
      </x:c>
      <x:c r="D270" s="108" t="str">
        <x:v>host_relation</x:v>
      </x:c>
      <x:c r="E270" s="108" t="str">
        <x:v>HOSTED</x:v>
      </x:c>
      <x:c r="F270" s="108" t="str"/>
      <x:c r="G270" s="108" t="str"/>
      <x:c r="H270" s="108" t="str"/>
      <x:c r="I270" s="108" t="str">
        <x:v>ifc_observed</x:v>
      </x:c>
      <x:c r="J270" s="108" t="str">
        <x:v>observed</x:v>
      </x:c>
      <x:c r="K270" s="108" t="str">
        <x:v>IFC-FORMAL-001</x:v>
      </x:c>
      <x:c r="L270" s="108" t="str"/>
      <x:c r="M270" s="108" t="str">
        <x:v>no</x:v>
      </x:c>
      <x:c r="N270" s="108" t="str"/>
    </x:row>
    <x:row r="271" ht="34" customHeight="1">
      <x:c r="A271" s="108" t="str">
        <x:v>REQ-0269</x:v>
      </x:c>
      <x:c r="B271" s="108" t="str">
        <x:v>DW-W07</x:v>
      </x:c>
      <x:c r="C271" s="108" t="str">
        <x:v>ARCH</x:v>
      </x:c>
      <x:c r="D271" s="108" t="str">
        <x:v>sill_or_threshold_z</x:v>
      </x:c>
      <x:c r="E271" s="108" t="str"/>
      <x:c r="F271" s="108" t="str">
        <x:v>670.000000</x:v>
      </x:c>
      <x:c r="G271" s="108" t="str">
        <x:v>mm</x:v>
      </x:c>
      <x:c r="H271" s="108" t="str"/>
      <x:c r="I271" s="108" t="str">
        <x:v>ifc_observed</x:v>
      </x:c>
      <x:c r="J271" s="108" t="str">
        <x:v>observed</x:v>
      </x:c>
      <x:c r="K271" s="108" t="str">
        <x:v>IFC-FORMAL-001</x:v>
      </x:c>
      <x:c r="L271" s="108" t="str"/>
      <x:c r="M271" s="108" t="str">
        <x:v>no</x:v>
      </x:c>
      <x:c r="N271" s="108" t="str"/>
    </x:row>
    <x:row r="272" ht="34" customHeight="1">
      <x:c r="A272" s="108" t="str">
        <x:v>REQ-0270</x:v>
      </x:c>
      <x:c r="B272" s="108" t="str">
        <x:v>DW-W08</x:v>
      </x:c>
      <x:c r="C272" s="108" t="str">
        <x:v>ARCH</x:v>
      </x:c>
      <x:c r="D272" s="108" t="str">
        <x:v>nominal_width</x:v>
      </x:c>
      <x:c r="E272" s="108" t="str"/>
      <x:c r="F272" s="108" t="str">
        <x:v>2490</x:v>
      </x:c>
      <x:c r="G272" s="108" t="str">
        <x:v>mm</x:v>
      </x:c>
      <x:c r="H272" s="108" t="str"/>
      <x:c r="I272" s="108" t="str">
        <x:v>ifc_observed</x:v>
      </x:c>
      <x:c r="J272" s="108" t="str">
        <x:v>observed</x:v>
      </x:c>
      <x:c r="K272" s="108" t="str">
        <x:v>IFC-FORMAL-001</x:v>
      </x:c>
      <x:c r="L272" s="108" t="str"/>
      <x:c r="M272" s="108" t="str">
        <x:v>no</x:v>
      </x:c>
      <x:c r="N272" s="108" t="str"/>
    </x:row>
    <x:row r="273" ht="34" customHeight="1">
      <x:c r="A273" s="108" t="str">
        <x:v>REQ-0271</x:v>
      </x:c>
      <x:c r="B273" s="108" t="str">
        <x:v>DW-W08</x:v>
      </x:c>
      <x:c r="C273" s="108" t="str">
        <x:v>ARCH</x:v>
      </x:c>
      <x:c r="D273" s="108" t="str">
        <x:v>nominal_height</x:v>
      </x:c>
      <x:c r="E273" s="108" t="str"/>
      <x:c r="F273" s="108" t="str">
        <x:v>1780</x:v>
      </x:c>
      <x:c r="G273" s="108" t="str">
        <x:v>mm</x:v>
      </x:c>
      <x:c r="H273" s="108" t="str"/>
      <x:c r="I273" s="108" t="str">
        <x:v>ifc_observed</x:v>
      </x:c>
      <x:c r="J273" s="108" t="str">
        <x:v>observed</x:v>
      </x:c>
      <x:c r="K273" s="108" t="str">
        <x:v>IFC-FORMAL-001</x:v>
      </x:c>
      <x:c r="L273" s="108" t="str"/>
      <x:c r="M273" s="108" t="str">
        <x:v>no</x:v>
      </x:c>
      <x:c r="N273" s="108" t="str"/>
    </x:row>
    <x:row r="274" ht="34" customHeight="1">
      <x:c r="A274" s="108" t="str">
        <x:v>REQ-0272</x:v>
      </x:c>
      <x:c r="B274" s="108" t="str">
        <x:v>DW-W08</x:v>
      </x:c>
      <x:c r="C274" s="108" t="str">
        <x:v>ARCH</x:v>
      </x:c>
      <x:c r="D274" s="108" t="str">
        <x:v>operation_type</x:v>
      </x:c>
      <x:c r="E274" s="108" t="str">
        <x:v>TRIPLE_PANEL_RIGHT</x:v>
      </x:c>
      <x:c r="F274" s="108" t="str"/>
      <x:c r="G274" s="108" t="str"/>
      <x:c r="H274" s="108" t="str"/>
      <x:c r="I274" s="108" t="str">
        <x:v>ifc_observed</x:v>
      </x:c>
      <x:c r="J274" s="108" t="str">
        <x:v>observed</x:v>
      </x:c>
      <x:c r="K274" s="108" t="str">
        <x:v>IFC-FORMAL-001</x:v>
      </x:c>
      <x:c r="L274" s="108" t="str"/>
      <x:c r="M274" s="108" t="str">
        <x:v>no</x:v>
      </x:c>
      <x:c r="N274" s="108" t="str"/>
    </x:row>
    <x:row r="275" ht="34" customHeight="1">
      <x:c r="A275" s="108" t="str">
        <x:v>REQ-0273</x:v>
      </x:c>
      <x:c r="B275" s="108" t="str">
        <x:v>DW-W08</x:v>
      </x:c>
      <x:c r="C275" s="108" t="str">
        <x:v>ARCH</x:v>
      </x:c>
      <x:c r="D275" s="108" t="str">
        <x:v>host_relation</x:v>
      </x:c>
      <x:c r="E275" s="108" t="str">
        <x:v>HOSTED</x:v>
      </x:c>
      <x:c r="F275" s="108" t="str"/>
      <x:c r="G275" s="108" t="str"/>
      <x:c r="H275" s="108" t="str"/>
      <x:c r="I275" s="108" t="str">
        <x:v>ifc_observed</x:v>
      </x:c>
      <x:c r="J275" s="108" t="str">
        <x:v>observed</x:v>
      </x:c>
      <x:c r="K275" s="108" t="str">
        <x:v>IFC-FORMAL-001</x:v>
      </x:c>
      <x:c r="L275" s="108" t="str"/>
      <x:c r="M275" s="108" t="str">
        <x:v>no</x:v>
      </x:c>
      <x:c r="N275" s="108" t="str"/>
    </x:row>
    <x:row r="276" ht="34" customHeight="1">
      <x:c r="A276" s="108" t="str">
        <x:v>REQ-0274</x:v>
      </x:c>
      <x:c r="B276" s="108" t="str">
        <x:v>DW-W08</x:v>
      </x:c>
      <x:c r="C276" s="108" t="str">
        <x:v>ARCH</x:v>
      </x:c>
      <x:c r="D276" s="108" t="str">
        <x:v>sill_or_threshold_z</x:v>
      </x:c>
      <x:c r="E276" s="108" t="str"/>
      <x:c r="F276" s="108" t="str">
        <x:v>670.000000</x:v>
      </x:c>
      <x:c r="G276" s="108" t="str">
        <x:v>mm</x:v>
      </x:c>
      <x:c r="H276" s="108" t="str"/>
      <x:c r="I276" s="108" t="str">
        <x:v>ifc_observed</x:v>
      </x:c>
      <x:c r="J276" s="108" t="str">
        <x:v>observed</x:v>
      </x:c>
      <x:c r="K276" s="108" t="str">
        <x:v>IFC-FORMAL-001</x:v>
      </x:c>
      <x:c r="L276" s="108" t="str"/>
      <x:c r="M276" s="108" t="str">
        <x:v>no</x:v>
      </x:c>
      <x:c r="N276" s="108" t="str"/>
    </x:row>
    <x:row r="277" ht="34" customHeight="1">
      <x:c r="A277" s="108" t="str">
        <x:v>REQ-0275</x:v>
      </x:c>
      <x:c r="B277" s="108" t="str">
        <x:v>DW-W09</x:v>
      </x:c>
      <x:c r="C277" s="108" t="str">
        <x:v>ARCH</x:v>
      </x:c>
      <x:c r="D277" s="108" t="str">
        <x:v>nominal_width</x:v>
      </x:c>
      <x:c r="E277" s="108" t="str"/>
      <x:c r="F277" s="108" t="str">
        <x:v>1180</x:v>
      </x:c>
      <x:c r="G277" s="108" t="str">
        <x:v>mm</x:v>
      </x:c>
      <x:c r="H277" s="108" t="str"/>
      <x:c r="I277" s="108" t="str">
        <x:v>ifc_observed</x:v>
      </x:c>
      <x:c r="J277" s="108" t="str">
        <x:v>observed</x:v>
      </x:c>
      <x:c r="K277" s="108" t="str">
        <x:v>IFC-FORMAL-001</x:v>
      </x:c>
      <x:c r="L277" s="108" t="str"/>
      <x:c r="M277" s="108" t="str">
        <x:v>no</x:v>
      </x:c>
      <x:c r="N277" s="108" t="str"/>
    </x:row>
    <x:row r="278" ht="34" customHeight="1">
      <x:c r="A278" s="108" t="str">
        <x:v>REQ-0276</x:v>
      </x:c>
      <x:c r="B278" s="108" t="str">
        <x:v>DW-W09</x:v>
      </x:c>
      <x:c r="C278" s="108" t="str">
        <x:v>ARCH</x:v>
      </x:c>
      <x:c r="D278" s="108" t="str">
        <x:v>nominal_height</x:v>
      </x:c>
      <x:c r="E278" s="108" t="str"/>
      <x:c r="F278" s="108" t="str">
        <x:v>1720</x:v>
      </x:c>
      <x:c r="G278" s="108" t="str">
        <x:v>mm</x:v>
      </x:c>
      <x:c r="H278" s="108" t="str"/>
      <x:c r="I278" s="108" t="str">
        <x:v>ifc_observed</x:v>
      </x:c>
      <x:c r="J278" s="108" t="str">
        <x:v>observed</x:v>
      </x:c>
      <x:c r="K278" s="108" t="str">
        <x:v>IFC-FORMAL-001</x:v>
      </x:c>
      <x:c r="L278" s="108" t="str"/>
      <x:c r="M278" s="108" t="str">
        <x:v>no</x:v>
      </x:c>
      <x:c r="N278" s="108" t="str"/>
    </x:row>
    <x:row r="279" ht="34" customHeight="1">
      <x:c r="A279" s="108" t="str">
        <x:v>REQ-0277</x:v>
      </x:c>
      <x:c r="B279" s="108" t="str">
        <x:v>DW-W09</x:v>
      </x:c>
      <x:c r="C279" s="108" t="str">
        <x:v>ARCH</x:v>
      </x:c>
      <x:c r="D279" s="108" t="str">
        <x:v>operation_type</x:v>
      </x:c>
      <x:c r="E279" s="108" t="str">
        <x:v>TRIPLE_PANEL_LEFT</x:v>
      </x:c>
      <x:c r="F279" s="108" t="str"/>
      <x:c r="G279" s="108" t="str"/>
      <x:c r="H279" s="108" t="str"/>
      <x:c r="I279" s="108" t="str">
        <x:v>ifc_observed</x:v>
      </x:c>
      <x:c r="J279" s="108" t="str">
        <x:v>observed</x:v>
      </x:c>
      <x:c r="K279" s="108" t="str">
        <x:v>IFC-FORMAL-001</x:v>
      </x:c>
      <x:c r="L279" s="108" t="str"/>
      <x:c r="M279" s="108" t="str">
        <x:v>no</x:v>
      </x:c>
      <x:c r="N279" s="108" t="str"/>
    </x:row>
    <x:row r="280" ht="34" customHeight="1">
      <x:c r="A280" s="108" t="str">
        <x:v>REQ-0278</x:v>
      </x:c>
      <x:c r="B280" s="108" t="str">
        <x:v>DW-W09</x:v>
      </x:c>
      <x:c r="C280" s="108" t="str">
        <x:v>ARCH</x:v>
      </x:c>
      <x:c r="D280" s="108" t="str">
        <x:v>host_relation</x:v>
      </x:c>
      <x:c r="E280" s="108" t="str">
        <x:v>HOSTED</x:v>
      </x:c>
      <x:c r="F280" s="108" t="str"/>
      <x:c r="G280" s="108" t="str"/>
      <x:c r="H280" s="108" t="str"/>
      <x:c r="I280" s="108" t="str">
        <x:v>ifc_observed</x:v>
      </x:c>
      <x:c r="J280" s="108" t="str">
        <x:v>observed</x:v>
      </x:c>
      <x:c r="K280" s="108" t="str">
        <x:v>IFC-FORMAL-001</x:v>
      </x:c>
      <x:c r="L280" s="108" t="str"/>
      <x:c r="M280" s="108" t="str">
        <x:v>no</x:v>
      </x:c>
      <x:c r="N280" s="108" t="str"/>
    </x:row>
    <x:row r="281" ht="34" customHeight="1">
      <x:c r="A281" s="108" t="str">
        <x:v>REQ-0279</x:v>
      </x:c>
      <x:c r="B281" s="108" t="str">
        <x:v>DW-W09</x:v>
      </x:c>
      <x:c r="C281" s="108" t="str">
        <x:v>ARCH</x:v>
      </x:c>
      <x:c r="D281" s="108" t="str">
        <x:v>sill_or_threshold_z</x:v>
      </x:c>
      <x:c r="E281" s="108" t="str"/>
      <x:c r="F281" s="108" t="str">
        <x:v>680.000000</x:v>
      </x:c>
      <x:c r="G281" s="108" t="str">
        <x:v>mm</x:v>
      </x:c>
      <x:c r="H281" s="108" t="str"/>
      <x:c r="I281" s="108" t="str">
        <x:v>ifc_observed</x:v>
      </x:c>
      <x:c r="J281" s="108" t="str">
        <x:v>observed</x:v>
      </x:c>
      <x:c r="K281" s="108" t="str">
        <x:v>IFC-FORMAL-001</x:v>
      </x:c>
      <x:c r="L281" s="108" t="str"/>
      <x:c r="M281" s="108" t="str">
        <x:v>no</x:v>
      </x:c>
      <x:c r="N281" s="108" t="str"/>
    </x:row>
    <x:row r="282" ht="34" customHeight="1">
      <x:c r="A282" s="108" t="str">
        <x:v>REQ-0280</x:v>
      </x:c>
      <x:c r="B282" s="108" t="str">
        <x:v>DW-W10</x:v>
      </x:c>
      <x:c r="C282" s="108" t="str">
        <x:v>ARCH</x:v>
      </x:c>
      <x:c r="D282" s="108" t="str">
        <x:v>nominal_width</x:v>
      </x:c>
      <x:c r="E282" s="108" t="str"/>
      <x:c r="F282" s="108" t="str">
        <x:v>1180</x:v>
      </x:c>
      <x:c r="G282" s="108" t="str">
        <x:v>mm</x:v>
      </x:c>
      <x:c r="H282" s="108" t="str"/>
      <x:c r="I282" s="108" t="str">
        <x:v>ifc_observed</x:v>
      </x:c>
      <x:c r="J282" s="108" t="str">
        <x:v>observed</x:v>
      </x:c>
      <x:c r="K282" s="108" t="str">
        <x:v>IFC-FORMAL-001</x:v>
      </x:c>
      <x:c r="L282" s="108" t="str"/>
      <x:c r="M282" s="108" t="str">
        <x:v>no</x:v>
      </x:c>
      <x:c r="N282" s="108" t="str"/>
    </x:row>
    <x:row r="283" ht="34" customHeight="1">
      <x:c r="A283" s="108" t="str">
        <x:v>REQ-0281</x:v>
      </x:c>
      <x:c r="B283" s="108" t="str">
        <x:v>DW-W10</x:v>
      </x:c>
      <x:c r="C283" s="108" t="str">
        <x:v>ARCH</x:v>
      </x:c>
      <x:c r="D283" s="108" t="str">
        <x:v>nominal_height</x:v>
      </x:c>
      <x:c r="E283" s="108" t="str"/>
      <x:c r="F283" s="108" t="str">
        <x:v>1720</x:v>
      </x:c>
      <x:c r="G283" s="108" t="str">
        <x:v>mm</x:v>
      </x:c>
      <x:c r="H283" s="108" t="str"/>
      <x:c r="I283" s="108" t="str">
        <x:v>ifc_observed</x:v>
      </x:c>
      <x:c r="J283" s="108" t="str">
        <x:v>observed</x:v>
      </x:c>
      <x:c r="K283" s="108" t="str">
        <x:v>IFC-FORMAL-001</x:v>
      </x:c>
      <x:c r="L283" s="108" t="str"/>
      <x:c r="M283" s="108" t="str">
        <x:v>no</x:v>
      </x:c>
      <x:c r="N283" s="108" t="str"/>
    </x:row>
    <x:row r="284" ht="34" customHeight="1">
      <x:c r="A284" s="108" t="str">
        <x:v>REQ-0282</x:v>
      </x:c>
      <x:c r="B284" s="108" t="str">
        <x:v>DW-W10</x:v>
      </x:c>
      <x:c r="C284" s="108" t="str">
        <x:v>ARCH</x:v>
      </x:c>
      <x:c r="D284" s="108" t="str">
        <x:v>operation_type</x:v>
      </x:c>
      <x:c r="E284" s="108" t="str">
        <x:v>TRIPLE_PANEL_LEFT</x:v>
      </x:c>
      <x:c r="F284" s="108" t="str"/>
      <x:c r="G284" s="108" t="str"/>
      <x:c r="H284" s="108" t="str"/>
      <x:c r="I284" s="108" t="str">
        <x:v>ifc_observed</x:v>
      </x:c>
      <x:c r="J284" s="108" t="str">
        <x:v>observed</x:v>
      </x:c>
      <x:c r="K284" s="108" t="str">
        <x:v>IFC-FORMAL-001</x:v>
      </x:c>
      <x:c r="L284" s="108" t="str"/>
      <x:c r="M284" s="108" t="str">
        <x:v>no</x:v>
      </x:c>
      <x:c r="N284" s="108" t="str"/>
    </x:row>
    <x:row r="285" ht="34" customHeight="1">
      <x:c r="A285" s="108" t="str">
        <x:v>REQ-0283</x:v>
      </x:c>
      <x:c r="B285" s="108" t="str">
        <x:v>DW-W10</x:v>
      </x:c>
      <x:c r="C285" s="108" t="str">
        <x:v>ARCH</x:v>
      </x:c>
      <x:c r="D285" s="108" t="str">
        <x:v>host_relation</x:v>
      </x:c>
      <x:c r="E285" s="108" t="str">
        <x:v>HOSTED</x:v>
      </x:c>
      <x:c r="F285" s="108" t="str"/>
      <x:c r="G285" s="108" t="str"/>
      <x:c r="H285" s="108" t="str"/>
      <x:c r="I285" s="108" t="str">
        <x:v>ifc_observed</x:v>
      </x:c>
      <x:c r="J285" s="108" t="str">
        <x:v>observed</x:v>
      </x:c>
      <x:c r="K285" s="108" t="str">
        <x:v>IFC-FORMAL-001</x:v>
      </x:c>
      <x:c r="L285" s="108" t="str"/>
      <x:c r="M285" s="108" t="str">
        <x:v>no</x:v>
      </x:c>
      <x:c r="N285" s="108" t="str"/>
    </x:row>
    <x:row r="286" ht="34" customHeight="1">
      <x:c r="A286" s="108" t="str">
        <x:v>REQ-0284</x:v>
      </x:c>
      <x:c r="B286" s="108" t="str">
        <x:v>DW-W10</x:v>
      </x:c>
      <x:c r="C286" s="108" t="str">
        <x:v>ARCH</x:v>
      </x:c>
      <x:c r="D286" s="108" t="str">
        <x:v>sill_or_threshold_z</x:v>
      </x:c>
      <x:c r="E286" s="108" t="str"/>
      <x:c r="F286" s="108" t="str">
        <x:v>680.000000</x:v>
      </x:c>
      <x:c r="G286" s="108" t="str">
        <x:v>mm</x:v>
      </x:c>
      <x:c r="H286" s="108" t="str"/>
      <x:c r="I286" s="108" t="str">
        <x:v>ifc_observed</x:v>
      </x:c>
      <x:c r="J286" s="108" t="str">
        <x:v>observed</x:v>
      </x:c>
      <x:c r="K286" s="108" t="str">
        <x:v>IFC-FORMAL-001</x:v>
      </x:c>
      <x:c r="L286" s="108" t="str"/>
      <x:c r="M286" s="108" t="str">
        <x:v>no</x:v>
      </x:c>
      <x:c r="N286" s="108" t="str"/>
    </x:row>
    <x:row r="287" ht="34" customHeight="1">
      <x:c r="A287" s="108" t="str">
        <x:v>REQ-0285</x:v>
      </x:c>
      <x:c r="B287" s="108" t="str">
        <x:v>DW-W11</x:v>
      </x:c>
      <x:c r="C287" s="108" t="str">
        <x:v>ARCH</x:v>
      </x:c>
      <x:c r="D287" s="108" t="str">
        <x:v>nominal_width</x:v>
      </x:c>
      <x:c r="E287" s="108" t="str"/>
      <x:c r="F287" s="108" t="str">
        <x:v>1500</x:v>
      </x:c>
      <x:c r="G287" s="108" t="str">
        <x:v>mm</x:v>
      </x:c>
      <x:c r="H287" s="108" t="str"/>
      <x:c r="I287" s="108" t="str">
        <x:v>ifc_observed</x:v>
      </x:c>
      <x:c r="J287" s="108" t="str">
        <x:v>observed</x:v>
      </x:c>
      <x:c r="K287" s="108" t="str">
        <x:v>IFC-FORMAL-001</x:v>
      </x:c>
      <x:c r="L287" s="108" t="str"/>
      <x:c r="M287" s="108" t="str">
        <x:v>no</x:v>
      </x:c>
      <x:c r="N287" s="108" t="str"/>
    </x:row>
    <x:row r="288" ht="34" customHeight="1">
      <x:c r="A288" s="108" t="str">
        <x:v>REQ-0286</x:v>
      </x:c>
      <x:c r="B288" s="108" t="str">
        <x:v>DW-W11</x:v>
      </x:c>
      <x:c r="C288" s="108" t="str">
        <x:v>ARCH</x:v>
      </x:c>
      <x:c r="D288" s="108" t="str">
        <x:v>nominal_height</x:v>
      </x:c>
      <x:c r="E288" s="108" t="str"/>
      <x:c r="F288" s="108" t="str">
        <x:v>1340</x:v>
      </x:c>
      <x:c r="G288" s="108" t="str">
        <x:v>mm</x:v>
      </x:c>
      <x:c r="H288" s="108" t="str"/>
      <x:c r="I288" s="108" t="str">
        <x:v>ifc_observed</x:v>
      </x:c>
      <x:c r="J288" s="108" t="str">
        <x:v>observed</x:v>
      </x:c>
      <x:c r="K288" s="108" t="str">
        <x:v>IFC-FORMAL-001</x:v>
      </x:c>
      <x:c r="L288" s="108" t="str"/>
      <x:c r="M288" s="108" t="str">
        <x:v>no</x:v>
      </x:c>
      <x:c r="N288" s="108" t="str"/>
    </x:row>
    <x:row r="289" ht="34" customHeight="1">
      <x:c r="A289" s="108" t="str">
        <x:v>REQ-0287</x:v>
      </x:c>
      <x:c r="B289" s="108" t="str">
        <x:v>DW-W11</x:v>
      </x:c>
      <x:c r="C289" s="108" t="str">
        <x:v>ARCH</x:v>
      </x:c>
      <x:c r="D289" s="108" t="str">
        <x:v>operation_type</x:v>
      </x:c>
      <x:c r="E289" s="108" t="str">
        <x:v>DOUBLE_PANEL_VERTICAL</x:v>
      </x:c>
      <x:c r="F289" s="108" t="str"/>
      <x:c r="G289" s="108" t="str"/>
      <x:c r="H289" s="108" t="str"/>
      <x:c r="I289" s="108" t="str">
        <x:v>ifc_observed</x:v>
      </x:c>
      <x:c r="J289" s="108" t="str">
        <x:v>observed</x:v>
      </x:c>
      <x:c r="K289" s="108" t="str">
        <x:v>IFC-FORMAL-001</x:v>
      </x:c>
      <x:c r="L289" s="108" t="str"/>
      <x:c r="M289" s="108" t="str">
        <x:v>no</x:v>
      </x:c>
      <x:c r="N289" s="108" t="str"/>
    </x:row>
    <x:row r="290" ht="34" customHeight="1">
      <x:c r="A290" s="108" t="str">
        <x:v>REQ-0288</x:v>
      </x:c>
      <x:c r="B290" s="108" t="str">
        <x:v>DW-W11</x:v>
      </x:c>
      <x:c r="C290" s="108" t="str">
        <x:v>ARCH</x:v>
      </x:c>
      <x:c r="D290" s="108" t="str">
        <x:v>host_relation</x:v>
      </x:c>
      <x:c r="E290" s="108" t="str">
        <x:v>HOSTED</x:v>
      </x:c>
      <x:c r="F290" s="108" t="str"/>
      <x:c r="G290" s="108" t="str"/>
      <x:c r="H290" s="108" t="str"/>
      <x:c r="I290" s="108" t="str">
        <x:v>ifc_observed</x:v>
      </x:c>
      <x:c r="J290" s="108" t="str">
        <x:v>observed</x:v>
      </x:c>
      <x:c r="K290" s="108" t="str">
        <x:v>IFC-FORMAL-001</x:v>
      </x:c>
      <x:c r="L290" s="108" t="str"/>
      <x:c r="M290" s="108" t="str">
        <x:v>no</x:v>
      </x:c>
      <x:c r="N290" s="108" t="str"/>
    </x:row>
    <x:row r="291" ht="34" customHeight="1">
      <x:c r="A291" s="108" t="str">
        <x:v>REQ-0289</x:v>
      </x:c>
      <x:c r="B291" s="108" t="str">
        <x:v>DW-W11</x:v>
      </x:c>
      <x:c r="C291" s="108" t="str">
        <x:v>ARCH</x:v>
      </x:c>
      <x:c r="D291" s="108" t="str">
        <x:v>sill_or_threshold_z</x:v>
      </x:c>
      <x:c r="E291" s="108" t="str"/>
      <x:c r="F291" s="108" t="str">
        <x:v>1080.000000</x:v>
      </x:c>
      <x:c r="G291" s="108" t="str">
        <x:v>mm</x:v>
      </x:c>
      <x:c r="H291" s="108" t="str"/>
      <x:c r="I291" s="108" t="str">
        <x:v>ifc_observed</x:v>
      </x:c>
      <x:c r="J291" s="108" t="str">
        <x:v>observed</x:v>
      </x:c>
      <x:c r="K291" s="108" t="str">
        <x:v>IFC-FORMAL-001</x:v>
      </x:c>
      <x:c r="L291" s="108" t="str"/>
      <x:c r="M291" s="108" t="str">
        <x:v>no</x:v>
      </x:c>
      <x:c r="N291" s="108" t="str"/>
    </x:row>
    <x:row r="292" ht="34" customHeight="1">
      <x:c r="A292" s="108" t="str">
        <x:v>REQ-0290</x:v>
      </x:c>
      <x:c r="B292" s="108" t="str">
        <x:v>HVAC-001</x:v>
      </x:c>
      <x:c r="C292" s="108" t="str">
        <x:v>HVAC/PLUM</x:v>
      </x:c>
      <x:c r="D292" s="108" t="str">
        <x:v>nominal_body_width</x:v>
      </x:c>
      <x:c r="E292" s="108" t="str"/>
      <x:c r="F292" s="108" t="str">
        <x:v>700</x:v>
      </x:c>
      <x:c r="G292" s="108" t="str">
        <x:v>mm</x:v>
      </x:c>
      <x:c r="H292" s="108" t="str"/>
      <x:c r="I292" s="108" t="str">
        <x:v>official_model_family</x:v>
      </x:c>
      <x:c r="J292" s="108" t="str">
        <x:v>candidate</x:v>
      </x:c>
      <x:c r="K292" s="108" t="str">
        <x:v>RCP1-HVAC-IFACE-001</x:v>
      </x:c>
      <x:c r="L292" s="108" t="str"/>
      <x:c r="M292" s="108" t="str">
        <x:v>no</x:v>
      </x:c>
      <x:c r="N292" s="108" t="str"/>
    </x:row>
    <x:row r="293" ht="34" customHeight="1">
      <x:c r="A293" s="108" t="str">
        <x:v>REQ-0291</x:v>
      </x:c>
      <x:c r="B293" s="108" t="str">
        <x:v>HVAC-001</x:v>
      </x:c>
      <x:c r="C293" s="108" t="str">
        <x:v>HVAC/PLUM</x:v>
      </x:c>
      <x:c r="D293" s="108" t="str">
        <x:v>nominal_body_depth</x:v>
      </x:c>
      <x:c r="E293" s="108" t="str"/>
      <x:c r="F293" s="108" t="str">
        <x:v>447</x:v>
      </x:c>
      <x:c r="G293" s="108" t="str">
        <x:v>mm</x:v>
      </x:c>
      <x:c r="H293" s="108" t="str"/>
      <x:c r="I293" s="108" t="str">
        <x:v>official_model_family</x:v>
      </x:c>
      <x:c r="J293" s="108" t="str">
        <x:v>candidate</x:v>
      </x:c>
      <x:c r="K293" s="108" t="str">
        <x:v>RCP1-HVAC-IFACE-001</x:v>
      </x:c>
      <x:c r="L293" s="108" t="str"/>
      <x:c r="M293" s="108" t="str">
        <x:v>no</x:v>
      </x:c>
      <x:c r="N293" s="108" t="str"/>
    </x:row>
    <x:row r="294" ht="34" customHeight="1">
      <x:c r="A294" s="108" t="str">
        <x:v>REQ-0292</x:v>
      </x:c>
      <x:c r="B294" s="108" t="str">
        <x:v>HVAC-001</x:v>
      </x:c>
      <x:c r="C294" s="108" t="str">
        <x:v>HVAC/PLUM</x:v>
      </x:c>
      <x:c r="D294" s="108" t="str">
        <x:v>nominal_body_height</x:v>
      </x:c>
      <x:c r="E294" s="108" t="str"/>
      <x:c r="F294" s="108" t="str">
        <x:v>192</x:v>
      </x:c>
      <x:c r="G294" s="108" t="str">
        <x:v>mm</x:v>
      </x:c>
      <x:c r="H294" s="108" t="str"/>
      <x:c r="I294" s="108" t="str">
        <x:v>official_model_family</x:v>
      </x:c>
      <x:c r="J294" s="108" t="str">
        <x:v>candidate</x:v>
      </x:c>
      <x:c r="K294" s="108" t="str">
        <x:v>RCP1-HVAC-IFACE-001</x:v>
      </x:c>
      <x:c r="L294" s="108" t="str"/>
      <x:c r="M294" s="108" t="str">
        <x:v>no</x:v>
      </x:c>
      <x:c r="N294" s="108" t="str"/>
    </x:row>
    <x:row r="295" ht="34" customHeight="1">
      <x:c r="A295" s="108" t="str">
        <x:v>REQ-0293</x:v>
      </x:c>
      <x:c r="B295" s="108" t="str">
        <x:v>HVAC-001</x:v>
      </x:c>
      <x:c r="C295" s="108" t="str">
        <x:v>HVAC/PLUM</x:v>
      </x:c>
      <x:c r="D295" s="108" t="str">
        <x:v>capacity_group</x:v>
      </x:c>
      <x:c r="E295" s="108" t="str">
        <x:v>18-50</x:v>
      </x:c>
      <x:c r="F295" s="108" t="str"/>
      <x:c r="G295" s="108" t="str"/>
      <x:c r="H295" s="108" t="str"/>
      <x:c r="I295" s="108" t="str">
        <x:v>official_model_family</x:v>
      </x:c>
      <x:c r="J295" s="108" t="str">
        <x:v>candidate</x:v>
      </x:c>
      <x:c r="K295" s="108" t="str">
        <x:v>RCP1-HVAC-IFACE-001</x:v>
      </x:c>
      <x:c r="L295" s="108" t="str"/>
      <x:c r="M295" s="108" t="str">
        <x:v>no</x:v>
      </x:c>
      <x:c r="N295" s="108" t="str"/>
    </x:row>
    <x:row r="296" ht="34" customHeight="1">
      <x:c r="A296" s="108" t="str">
        <x:v>REQ-0294</x:v>
      </x:c>
      <x:c r="B296" s="108" t="str">
        <x:v>HVAC-001</x:v>
      </x:c>
      <x:c r="C296" s="108" t="str">
        <x:v>HVAC/PLUM</x:v>
      </x:c>
      <x:c r="D296" s="108" t="str">
        <x:v>gas_pipe_od</x:v>
      </x:c>
      <x:c r="E296" s="108" t="str"/>
      <x:c r="F296" s="108" t="str">
        <x:v>12.7</x:v>
      </x:c>
      <x:c r="G296" s="108" t="str">
        <x:v>mm</x:v>
      </x:c>
      <x:c r="H296" s="108" t="str"/>
      <x:c r="I296" s="108" t="str">
        <x:v>official_model_family</x:v>
      </x:c>
      <x:c r="J296" s="108" t="str">
        <x:v>candidate</x:v>
      </x:c>
      <x:c r="K296" s="108" t="str">
        <x:v>RCP1-HVAC-IFACE-001</x:v>
      </x:c>
      <x:c r="L296" s="108" t="str"/>
      <x:c r="M296" s="108" t="str">
        <x:v>no</x:v>
      </x:c>
      <x:c r="N296" s="108" t="str"/>
    </x:row>
    <x:row r="297" ht="34" customHeight="1">
      <x:c r="A297" s="108" t="str">
        <x:v>REQ-0295</x:v>
      </x:c>
      <x:c r="B297" s="108" t="str">
        <x:v>HVAC-001</x:v>
      </x:c>
      <x:c r="C297" s="108" t="str">
        <x:v>HVAC/PLUM</x:v>
      </x:c>
      <x:c r="D297" s="108" t="str">
        <x:v>liquid_pipe_od</x:v>
      </x:c>
      <x:c r="E297" s="108" t="str"/>
      <x:c r="F297" s="108" t="str">
        <x:v>6.35</x:v>
      </x:c>
      <x:c r="G297" s="108" t="str">
        <x:v>mm</x:v>
      </x:c>
      <x:c r="H297" s="108" t="str"/>
      <x:c r="I297" s="108" t="str">
        <x:v>official_model_family</x:v>
      </x:c>
      <x:c r="J297" s="108" t="str">
        <x:v>candidate</x:v>
      </x:c>
      <x:c r="K297" s="108" t="str">
        <x:v>RCP1-HVAC-IFACE-001</x:v>
      </x:c>
      <x:c r="L297" s="108" t="str"/>
      <x:c r="M297" s="108" t="str">
        <x:v>no</x:v>
      </x:c>
      <x:c r="N297" s="108" t="str"/>
    </x:row>
    <x:row r="298" ht="34" customHeight="1">
      <x:c r="A298" s="108" t="str">
        <x:v>REQ-0296</x:v>
      </x:c>
      <x:c r="B298" s="108" t="str">
        <x:v>HVAC-001</x:v>
      </x:c>
      <x:c r="C298" s="108" t="str">
        <x:v>HVAC/PLUM</x:v>
      </x:c>
      <x:c r="D298" s="108" t="str">
        <x:v>drain_pipe_od</x:v>
      </x:c>
      <x:c r="E298" s="108" t="str"/>
      <x:c r="F298" s="108" t="str">
        <x:v>32</x:v>
      </x:c>
      <x:c r="G298" s="108" t="str">
        <x:v>mm</x:v>
      </x:c>
      <x:c r="H298" s="108" t="str"/>
      <x:c r="I298" s="108" t="str">
        <x:v>official_model_family</x:v>
      </x:c>
      <x:c r="J298" s="108" t="str">
        <x:v>candidate</x:v>
      </x:c>
      <x:c r="K298" s="108" t="str">
        <x:v>RCP1-HVAC-IFACE-001</x:v>
      </x:c>
      <x:c r="L298" s="108" t="str"/>
      <x:c r="M298" s="108" t="str">
        <x:v>no</x:v>
      </x:c>
      <x:c r="N298" s="108" t="str"/>
    </x:row>
    <x:row r="299" ht="34" customHeight="1">
      <x:c r="A299" s="108" t="str">
        <x:v>REQ-0297</x:v>
      </x:c>
      <x:c r="B299" s="108" t="str">
        <x:v>HVAC-001</x:v>
      </x:c>
      <x:c r="C299" s="108" t="str">
        <x:v>HVAC/PLUM</x:v>
      </x:c>
      <x:c r="D299" s="108" t="str">
        <x:v>drain_slope_min</x:v>
      </x:c>
      <x:c r="E299" s="108" t="str">
        <x:v>1/100</x:v>
      </x:c>
      <x:c r="F299" s="108" t="str"/>
      <x:c r="G299" s="108" t="str"/>
      <x:c r="H299" s="108" t="str"/>
      <x:c r="I299" s="108" t="str">
        <x:v>official_model_family</x:v>
      </x:c>
      <x:c r="J299" s="108" t="str">
        <x:v>candidate</x:v>
      </x:c>
      <x:c r="K299" s="108" t="str">
        <x:v>RCP1-HVAC-IFACE-001</x:v>
      </x:c>
      <x:c r="L299" s="108" t="str"/>
      <x:c r="M299" s="108" t="str">
        <x:v>no</x:v>
      </x:c>
      <x:c r="N299" s="108" t="str"/>
    </x:row>
    <x:row r="300" ht="34" customHeight="1">
      <x:c r="A300" s="108" t="str">
        <x:v>REQ-0298</x:v>
      </x:c>
      <x:c r="B300" s="108" t="str">
        <x:v>HVAC-001</x:v>
      </x:c>
      <x:c r="C300" s="108" t="str">
        <x:v>HVAC/PLUM</x:v>
      </x:c>
      <x:c r="D300" s="108" t="str">
        <x:v>drain_slope_max</x:v>
      </x:c>
      <x:c r="E300" s="108" t="str">
        <x:v>1/25</x:v>
      </x:c>
      <x:c r="F300" s="108" t="str"/>
      <x:c r="G300" s="108" t="str"/>
      <x:c r="H300" s="108" t="str"/>
      <x:c r="I300" s="108" t="str">
        <x:v>official_model_family</x:v>
      </x:c>
      <x:c r="J300" s="108" t="str">
        <x:v>candidate</x:v>
      </x:c>
      <x:c r="K300" s="108" t="str">
        <x:v>RCP1-HVAC-IFACE-001</x:v>
      </x:c>
      <x:c r="L300" s="108" t="str"/>
      <x:c r="M300" s="108" t="str">
        <x:v>no</x:v>
      </x:c>
      <x:c r="N300" s="108" t="str"/>
    </x:row>
    <x:row r="301" ht="34" customHeight="1">
      <x:c r="A301" s="108" t="str">
        <x:v>REQ-0299</x:v>
      </x:c>
      <x:c r="B301" s="108" t="str">
        <x:v>HVAC-001</x:v>
      </x:c>
      <x:c r="C301" s="108" t="str">
        <x:v>HVAC/PLUM</x:v>
      </x:c>
      <x:c r="D301" s="108" t="str">
        <x:v>connection_side_basis</x:v>
      </x:c>
      <x:c r="E301" s="108" t="str">
        <x:v>equipment_local_positive_x_existing_connector_geometry</x:v>
      </x:c>
      <x:c r="F301" s="108" t="str"/>
      <x:c r="G301" s="108" t="str"/>
      <x:c r="H301" s="108" t="str"/>
      <x:c r="I301" s="108" t="str">
        <x:v>official_model_family</x:v>
      </x:c>
      <x:c r="J301" s="108" t="str">
        <x:v>candidate</x:v>
      </x:c>
      <x:c r="K301" s="108" t="str">
        <x:v>RCP1-HVAC-IFACE-001</x:v>
      </x:c>
      <x:c r="L301" s="108" t="str"/>
      <x:c r="M301" s="108" t="str">
        <x:v>no</x:v>
      </x:c>
      <x:c r="N301" s="108" t="str"/>
    </x:row>
    <x:row r="302" ht="34" customHeight="1">
      <x:c r="A302" s="108" t="str">
        <x:v>REQ-0300</x:v>
      </x:c>
      <x:c r="B302" s="108" t="str">
        <x:v>HVAC-001</x:v>
      </x:c>
      <x:c r="C302" s="108" t="str">
        <x:v>HVAC/PLUM</x:v>
      </x:c>
      <x:c r="D302" s="108" t="str">
        <x:v>port_coordinate_status</x:v>
      </x:c>
      <x:c r="E302" s="108" t="str">
        <x:v>diagram_available_variant_selection_pending</x:v>
      </x:c>
      <x:c r="F302" s="108" t="str"/>
      <x:c r="G302" s="108" t="str"/>
      <x:c r="H302" s="108" t="str"/>
      <x:c r="I302" s="108" t="str">
        <x:v>official_model_family</x:v>
      </x:c>
      <x:c r="J302" s="108" t="str">
        <x:v>candidate</x:v>
      </x:c>
      <x:c r="K302" s="108" t="str">
        <x:v>RCP1-HVAC-IFACE-001</x:v>
      </x:c>
      <x:c r="L302" s="108" t="str"/>
      <x:c r="M302" s="108" t="str">
        <x:v>no</x:v>
      </x:c>
      <x:c r="N302" s="108" t="str"/>
    </x:row>
    <x:row r="303" ht="34" customHeight="1">
      <x:c r="A303" s="108" t="str">
        <x:v>REQ-0301</x:v>
      </x:c>
      <x:c r="B303" s="108" t="str">
        <x:v>HVAC-002</x:v>
      </x:c>
      <x:c r="C303" s="108" t="str">
        <x:v>HVAC/PLUM</x:v>
      </x:c>
      <x:c r="D303" s="108" t="str">
        <x:v>nominal_body_width</x:v>
      </x:c>
      <x:c r="E303" s="108" t="str"/>
      <x:c r="F303" s="108" t="str">
        <x:v>700</x:v>
      </x:c>
      <x:c r="G303" s="108" t="str">
        <x:v>mm</x:v>
      </x:c>
      <x:c r="H303" s="108" t="str"/>
      <x:c r="I303" s="108" t="str">
        <x:v>official_model_family</x:v>
      </x:c>
      <x:c r="J303" s="108" t="str">
        <x:v>candidate</x:v>
      </x:c>
      <x:c r="K303" s="108" t="str">
        <x:v>RCP1-HVAC-IFACE-002</x:v>
      </x:c>
      <x:c r="L303" s="108" t="str"/>
      <x:c r="M303" s="108" t="str">
        <x:v>no</x:v>
      </x:c>
      <x:c r="N303" s="108" t="str"/>
    </x:row>
    <x:row r="304" ht="34" customHeight="1">
      <x:c r="A304" s="108" t="str">
        <x:v>REQ-0302</x:v>
      </x:c>
      <x:c r="B304" s="108" t="str">
        <x:v>HVAC-002</x:v>
      </x:c>
      <x:c r="C304" s="108" t="str">
        <x:v>HVAC/PLUM</x:v>
      </x:c>
      <x:c r="D304" s="108" t="str">
        <x:v>nominal_body_depth</x:v>
      </x:c>
      <x:c r="E304" s="108" t="str"/>
      <x:c r="F304" s="108" t="str">
        <x:v>447</x:v>
      </x:c>
      <x:c r="G304" s="108" t="str">
        <x:v>mm</x:v>
      </x:c>
      <x:c r="H304" s="108" t="str"/>
      <x:c r="I304" s="108" t="str">
        <x:v>official_model_family</x:v>
      </x:c>
      <x:c r="J304" s="108" t="str">
        <x:v>candidate</x:v>
      </x:c>
      <x:c r="K304" s="108" t="str">
        <x:v>RCP1-HVAC-IFACE-002</x:v>
      </x:c>
      <x:c r="L304" s="108" t="str"/>
      <x:c r="M304" s="108" t="str">
        <x:v>no</x:v>
      </x:c>
      <x:c r="N304" s="108" t="str"/>
    </x:row>
    <x:row r="305" ht="34" customHeight="1">
      <x:c r="A305" s="108" t="str">
        <x:v>REQ-0303</x:v>
      </x:c>
      <x:c r="B305" s="108" t="str">
        <x:v>HVAC-002</x:v>
      </x:c>
      <x:c r="C305" s="108" t="str">
        <x:v>HVAC/PLUM</x:v>
      </x:c>
      <x:c r="D305" s="108" t="str">
        <x:v>nominal_body_height</x:v>
      </x:c>
      <x:c r="E305" s="108" t="str"/>
      <x:c r="F305" s="108" t="str">
        <x:v>192</x:v>
      </x:c>
      <x:c r="G305" s="108" t="str">
        <x:v>mm</x:v>
      </x:c>
      <x:c r="H305" s="108" t="str"/>
      <x:c r="I305" s="108" t="str">
        <x:v>official_model_family</x:v>
      </x:c>
      <x:c r="J305" s="108" t="str">
        <x:v>candidate</x:v>
      </x:c>
      <x:c r="K305" s="108" t="str">
        <x:v>RCP1-HVAC-IFACE-002</x:v>
      </x:c>
      <x:c r="L305" s="108" t="str"/>
      <x:c r="M305" s="108" t="str">
        <x:v>no</x:v>
      </x:c>
      <x:c r="N305" s="108" t="str"/>
    </x:row>
    <x:row r="306" ht="34" customHeight="1">
      <x:c r="A306" s="108" t="str">
        <x:v>REQ-0304</x:v>
      </x:c>
      <x:c r="B306" s="108" t="str">
        <x:v>HVAC-002</x:v>
      </x:c>
      <x:c r="C306" s="108" t="str">
        <x:v>HVAC/PLUM</x:v>
      </x:c>
      <x:c r="D306" s="108" t="str">
        <x:v>capacity_group</x:v>
      </x:c>
      <x:c r="E306" s="108" t="str">
        <x:v>18-50</x:v>
      </x:c>
      <x:c r="F306" s="108" t="str"/>
      <x:c r="G306" s="108" t="str"/>
      <x:c r="H306" s="108" t="str"/>
      <x:c r="I306" s="108" t="str">
        <x:v>official_model_family</x:v>
      </x:c>
      <x:c r="J306" s="108" t="str">
        <x:v>candidate</x:v>
      </x:c>
      <x:c r="K306" s="108" t="str">
        <x:v>RCP1-HVAC-IFACE-002</x:v>
      </x:c>
      <x:c r="L306" s="108" t="str"/>
      <x:c r="M306" s="108" t="str">
        <x:v>no</x:v>
      </x:c>
      <x:c r="N306" s="108" t="str"/>
    </x:row>
    <x:row r="307" ht="34" customHeight="1">
      <x:c r="A307" s="108" t="str">
        <x:v>REQ-0305</x:v>
      </x:c>
      <x:c r="B307" s="108" t="str">
        <x:v>HVAC-002</x:v>
      </x:c>
      <x:c r="C307" s="108" t="str">
        <x:v>HVAC/PLUM</x:v>
      </x:c>
      <x:c r="D307" s="108" t="str">
        <x:v>gas_pipe_od</x:v>
      </x:c>
      <x:c r="E307" s="108" t="str"/>
      <x:c r="F307" s="108" t="str">
        <x:v>12.7</x:v>
      </x:c>
      <x:c r="G307" s="108" t="str">
        <x:v>mm</x:v>
      </x:c>
      <x:c r="H307" s="108" t="str"/>
      <x:c r="I307" s="108" t="str">
        <x:v>official_model_family</x:v>
      </x:c>
      <x:c r="J307" s="108" t="str">
        <x:v>candidate</x:v>
      </x:c>
      <x:c r="K307" s="108" t="str">
        <x:v>RCP1-HVAC-IFACE-002</x:v>
      </x:c>
      <x:c r="L307" s="108" t="str"/>
      <x:c r="M307" s="108" t="str">
        <x:v>no</x:v>
      </x:c>
      <x:c r="N307" s="108" t="str"/>
    </x:row>
    <x:row r="308" ht="34" customHeight="1">
      <x:c r="A308" s="108" t="str">
        <x:v>REQ-0306</x:v>
      </x:c>
      <x:c r="B308" s="108" t="str">
        <x:v>HVAC-002</x:v>
      </x:c>
      <x:c r="C308" s="108" t="str">
        <x:v>HVAC/PLUM</x:v>
      </x:c>
      <x:c r="D308" s="108" t="str">
        <x:v>liquid_pipe_od</x:v>
      </x:c>
      <x:c r="E308" s="108" t="str"/>
      <x:c r="F308" s="108" t="str">
        <x:v>6.35</x:v>
      </x:c>
      <x:c r="G308" s="108" t="str">
        <x:v>mm</x:v>
      </x:c>
      <x:c r="H308" s="108" t="str"/>
      <x:c r="I308" s="108" t="str">
        <x:v>official_model_family</x:v>
      </x:c>
      <x:c r="J308" s="108" t="str">
        <x:v>candidate</x:v>
      </x:c>
      <x:c r="K308" s="108" t="str">
        <x:v>RCP1-HVAC-IFACE-002</x:v>
      </x:c>
      <x:c r="L308" s="108" t="str"/>
      <x:c r="M308" s="108" t="str">
        <x:v>no</x:v>
      </x:c>
      <x:c r="N308" s="108" t="str"/>
    </x:row>
    <x:row r="309" ht="34" customHeight="1">
      <x:c r="A309" s="108" t="str">
        <x:v>REQ-0307</x:v>
      </x:c>
      <x:c r="B309" s="108" t="str">
        <x:v>HVAC-002</x:v>
      </x:c>
      <x:c r="C309" s="108" t="str">
        <x:v>HVAC/PLUM</x:v>
      </x:c>
      <x:c r="D309" s="108" t="str">
        <x:v>drain_pipe_od</x:v>
      </x:c>
      <x:c r="E309" s="108" t="str"/>
      <x:c r="F309" s="108" t="str">
        <x:v>32</x:v>
      </x:c>
      <x:c r="G309" s="108" t="str">
        <x:v>mm</x:v>
      </x:c>
      <x:c r="H309" s="108" t="str"/>
      <x:c r="I309" s="108" t="str">
        <x:v>official_model_family</x:v>
      </x:c>
      <x:c r="J309" s="108" t="str">
        <x:v>candidate</x:v>
      </x:c>
      <x:c r="K309" s="108" t="str">
        <x:v>RCP1-HVAC-IFACE-002</x:v>
      </x:c>
      <x:c r="L309" s="108" t="str"/>
      <x:c r="M309" s="108" t="str">
        <x:v>no</x:v>
      </x:c>
      <x:c r="N309" s="108" t="str"/>
    </x:row>
    <x:row r="310" ht="34" customHeight="1">
      <x:c r="A310" s="108" t="str">
        <x:v>REQ-0308</x:v>
      </x:c>
      <x:c r="B310" s="108" t="str">
        <x:v>HVAC-002</x:v>
      </x:c>
      <x:c r="C310" s="108" t="str">
        <x:v>HVAC/PLUM</x:v>
      </x:c>
      <x:c r="D310" s="108" t="str">
        <x:v>drain_slope_min</x:v>
      </x:c>
      <x:c r="E310" s="108" t="str">
        <x:v>1/100</x:v>
      </x:c>
      <x:c r="F310" s="108" t="str"/>
      <x:c r="G310" s="108" t="str"/>
      <x:c r="H310" s="108" t="str"/>
      <x:c r="I310" s="108" t="str">
        <x:v>official_model_family</x:v>
      </x:c>
      <x:c r="J310" s="108" t="str">
        <x:v>candidate</x:v>
      </x:c>
      <x:c r="K310" s="108" t="str">
        <x:v>RCP1-HVAC-IFACE-002</x:v>
      </x:c>
      <x:c r="L310" s="108" t="str"/>
      <x:c r="M310" s="108" t="str">
        <x:v>no</x:v>
      </x:c>
      <x:c r="N310" s="108" t="str"/>
    </x:row>
    <x:row r="311" ht="34" customHeight="1">
      <x:c r="A311" s="108" t="str">
        <x:v>REQ-0309</x:v>
      </x:c>
      <x:c r="B311" s="108" t="str">
        <x:v>HVAC-002</x:v>
      </x:c>
      <x:c r="C311" s="108" t="str">
        <x:v>HVAC/PLUM</x:v>
      </x:c>
      <x:c r="D311" s="108" t="str">
        <x:v>drain_slope_max</x:v>
      </x:c>
      <x:c r="E311" s="108" t="str">
        <x:v>1/25</x:v>
      </x:c>
      <x:c r="F311" s="108" t="str"/>
      <x:c r="G311" s="108" t="str"/>
      <x:c r="H311" s="108" t="str"/>
      <x:c r="I311" s="108" t="str">
        <x:v>official_model_family</x:v>
      </x:c>
      <x:c r="J311" s="108" t="str">
        <x:v>candidate</x:v>
      </x:c>
      <x:c r="K311" s="108" t="str">
        <x:v>RCP1-HVAC-IFACE-002</x:v>
      </x:c>
      <x:c r="L311" s="108" t="str"/>
      <x:c r="M311" s="108" t="str">
        <x:v>no</x:v>
      </x:c>
      <x:c r="N311" s="108" t="str"/>
    </x:row>
    <x:row r="312" ht="34" customHeight="1">
      <x:c r="A312" s="108" t="str">
        <x:v>REQ-0310</x:v>
      </x:c>
      <x:c r="B312" s="108" t="str">
        <x:v>HVAC-002</x:v>
      </x:c>
      <x:c r="C312" s="108" t="str">
        <x:v>HVAC/PLUM</x:v>
      </x:c>
      <x:c r="D312" s="108" t="str">
        <x:v>connection_side_basis</x:v>
      </x:c>
      <x:c r="E312" s="108" t="str">
        <x:v>equipment_local_positive_x_existing_connector_geometry</x:v>
      </x:c>
      <x:c r="F312" s="108" t="str"/>
      <x:c r="G312" s="108" t="str"/>
      <x:c r="H312" s="108" t="str"/>
      <x:c r="I312" s="108" t="str">
        <x:v>official_model_family</x:v>
      </x:c>
      <x:c r="J312" s="108" t="str">
        <x:v>candidate</x:v>
      </x:c>
      <x:c r="K312" s="108" t="str">
        <x:v>RCP1-HVAC-IFACE-002</x:v>
      </x:c>
      <x:c r="L312" s="108" t="str"/>
      <x:c r="M312" s="108" t="str">
        <x:v>no</x:v>
      </x:c>
      <x:c r="N312" s="108" t="str"/>
    </x:row>
    <x:row r="313" ht="34" customHeight="1">
      <x:c r="A313" s="108" t="str">
        <x:v>REQ-0311</x:v>
      </x:c>
      <x:c r="B313" s="108" t="str">
        <x:v>HVAC-002</x:v>
      </x:c>
      <x:c r="C313" s="108" t="str">
        <x:v>HVAC/PLUM</x:v>
      </x:c>
      <x:c r="D313" s="108" t="str">
        <x:v>port_coordinate_status</x:v>
      </x:c>
      <x:c r="E313" s="108" t="str">
        <x:v>diagram_available_variant_selection_pending</x:v>
      </x:c>
      <x:c r="F313" s="108" t="str"/>
      <x:c r="G313" s="108" t="str"/>
      <x:c r="H313" s="108" t="str"/>
      <x:c r="I313" s="108" t="str">
        <x:v>official_model_family</x:v>
      </x:c>
      <x:c r="J313" s="108" t="str">
        <x:v>candidate</x:v>
      </x:c>
      <x:c r="K313" s="108" t="str">
        <x:v>RCP1-HVAC-IFACE-002</x:v>
      </x:c>
      <x:c r="L313" s="108" t="str"/>
      <x:c r="M313" s="108" t="str">
        <x:v>no</x:v>
      </x:c>
      <x:c r="N313" s="108" t="str"/>
    </x:row>
    <x:row r="314" ht="34" customHeight="1">
      <x:c r="A314" s="108" t="str">
        <x:v>REQ-0312</x:v>
      </x:c>
      <x:c r="B314" s="108" t="str">
        <x:v>HVAC-003</x:v>
      </x:c>
      <x:c r="C314" s="108" t="str">
        <x:v>HVAC/PLUM</x:v>
      </x:c>
      <x:c r="D314" s="108" t="str">
        <x:v>nominal_body_width</x:v>
      </x:c>
      <x:c r="E314" s="108" t="str"/>
      <x:c r="F314" s="108" t="str">
        <x:v>1180</x:v>
      </x:c>
      <x:c r="G314" s="108" t="str">
        <x:v>mm</x:v>
      </x:c>
      <x:c r="H314" s="108" t="str"/>
      <x:c r="I314" s="108" t="str">
        <x:v>official_model_family</x:v>
      </x:c>
      <x:c r="J314" s="108" t="str">
        <x:v>candidate</x:v>
      </x:c>
      <x:c r="K314" s="108" t="str">
        <x:v>RCP1-HVAC-IFACE-003</x:v>
      </x:c>
      <x:c r="L314" s="108" t="str"/>
      <x:c r="M314" s="108" t="str">
        <x:v>no</x:v>
      </x:c>
      <x:c r="N314" s="108" t="str"/>
    </x:row>
    <x:row r="315" ht="34" customHeight="1">
      <x:c r="A315" s="108" t="str">
        <x:v>REQ-0313</x:v>
      </x:c>
      <x:c r="B315" s="108" t="str">
        <x:v>HVAC-003</x:v>
      </x:c>
      <x:c r="C315" s="108" t="str">
        <x:v>HVAC/PLUM</x:v>
      </x:c>
      <x:c r="D315" s="108" t="str">
        <x:v>nominal_body_depth</x:v>
      </x:c>
      <x:c r="E315" s="108" t="str"/>
      <x:c r="F315" s="108" t="str">
        <x:v>447</x:v>
      </x:c>
      <x:c r="G315" s="108" t="str">
        <x:v>mm</x:v>
      </x:c>
      <x:c r="H315" s="108" t="str"/>
      <x:c r="I315" s="108" t="str">
        <x:v>official_model_family</x:v>
      </x:c>
      <x:c r="J315" s="108" t="str">
        <x:v>candidate</x:v>
      </x:c>
      <x:c r="K315" s="108" t="str">
        <x:v>RCP1-HVAC-IFACE-003</x:v>
      </x:c>
      <x:c r="L315" s="108" t="str"/>
      <x:c r="M315" s="108" t="str">
        <x:v>no</x:v>
      </x:c>
      <x:c r="N315" s="108" t="str"/>
    </x:row>
    <x:row r="316" ht="34" customHeight="1">
      <x:c r="A316" s="108" t="str">
        <x:v>REQ-0314</x:v>
      </x:c>
      <x:c r="B316" s="108" t="str">
        <x:v>HVAC-003</x:v>
      </x:c>
      <x:c r="C316" s="108" t="str">
        <x:v>HVAC/PLUM</x:v>
      </x:c>
      <x:c r="D316" s="108" t="str">
        <x:v>nominal_body_height</x:v>
      </x:c>
      <x:c r="E316" s="108" t="str"/>
      <x:c r="F316" s="108" t="str">
        <x:v>192</x:v>
      </x:c>
      <x:c r="G316" s="108" t="str">
        <x:v>mm</x:v>
      </x:c>
      <x:c r="H316" s="108" t="str"/>
      <x:c r="I316" s="108" t="str">
        <x:v>official_model_family</x:v>
      </x:c>
      <x:c r="J316" s="108" t="str">
        <x:v>candidate</x:v>
      </x:c>
      <x:c r="K316" s="108" t="str">
        <x:v>RCP1-HVAC-IFACE-003</x:v>
      </x:c>
      <x:c r="L316" s="108" t="str"/>
      <x:c r="M316" s="108" t="str">
        <x:v>no</x:v>
      </x:c>
      <x:c r="N316" s="108" t="str"/>
    </x:row>
    <x:row r="317" ht="34" customHeight="1">
      <x:c r="A317" s="108" t="str">
        <x:v>REQ-0315</x:v>
      </x:c>
      <x:c r="B317" s="108" t="str">
        <x:v>HVAC-003</x:v>
      </x:c>
      <x:c r="C317" s="108" t="str">
        <x:v>HVAC/PLUM</x:v>
      </x:c>
      <x:c r="D317" s="108" t="str">
        <x:v>capacity_group</x:v>
      </x:c>
      <x:c r="E317" s="108" t="str">
        <x:v>63-71</x:v>
      </x:c>
      <x:c r="F317" s="108" t="str"/>
      <x:c r="G317" s="108" t="str"/>
      <x:c r="H317" s="108" t="str"/>
      <x:c r="I317" s="108" t="str">
        <x:v>official_model_family</x:v>
      </x:c>
      <x:c r="J317" s="108" t="str">
        <x:v>candidate</x:v>
      </x:c>
      <x:c r="K317" s="108" t="str">
        <x:v>RCP1-HVAC-IFACE-003</x:v>
      </x:c>
      <x:c r="L317" s="108" t="str"/>
      <x:c r="M317" s="108" t="str">
        <x:v>no</x:v>
      </x:c>
      <x:c r="N317" s="108" t="str"/>
    </x:row>
    <x:row r="318" ht="34" customHeight="1">
      <x:c r="A318" s="108" t="str">
        <x:v>REQ-0316</x:v>
      </x:c>
      <x:c r="B318" s="108" t="str">
        <x:v>HVAC-003</x:v>
      </x:c>
      <x:c r="C318" s="108" t="str">
        <x:v>HVAC/PLUM</x:v>
      </x:c>
      <x:c r="D318" s="108" t="str">
        <x:v>gas_pipe_od</x:v>
      </x:c>
      <x:c r="E318" s="108" t="str"/>
      <x:c r="F318" s="108" t="str"/>
      <x:c r="G318" s="108" t="str">
        <x:v>mm</x:v>
      </x:c>
      <x:c r="H318" s="108" t="str"/>
      <x:c r="I318" s="108" t="str">
        <x:v>official_model_family</x:v>
      </x:c>
      <x:c r="J318" s="108" t="str">
        <x:v>pending</x:v>
      </x:c>
      <x:c r="K318" s="108" t="str">
        <x:v>RCP1-HVAC-IFACE-003</x:v>
      </x:c>
      <x:c r="L318" s="108" t="str"/>
      <x:c r="M318" s="108" t="str">
        <x:v>yes</x:v>
      </x:c>
      <x:c r="N318" s="108" t="str"/>
    </x:row>
    <x:row r="319" ht="34" customHeight="1">
      <x:c r="A319" s="108" t="str">
        <x:v>REQ-0317</x:v>
      </x:c>
      <x:c r="B319" s="108" t="str">
        <x:v>HVAC-003</x:v>
      </x:c>
      <x:c r="C319" s="108" t="str">
        <x:v>HVAC/PLUM</x:v>
      </x:c>
      <x:c r="D319" s="108" t="str">
        <x:v>liquid_pipe_od</x:v>
      </x:c>
      <x:c r="E319" s="108" t="str"/>
      <x:c r="F319" s="108" t="str"/>
      <x:c r="G319" s="108" t="str">
        <x:v>mm</x:v>
      </x:c>
      <x:c r="H319" s="108" t="str"/>
      <x:c r="I319" s="108" t="str">
        <x:v>official_model_family</x:v>
      </x:c>
      <x:c r="J319" s="108" t="str">
        <x:v>pending</x:v>
      </x:c>
      <x:c r="K319" s="108" t="str">
        <x:v>RCP1-HVAC-IFACE-003</x:v>
      </x:c>
      <x:c r="L319" s="108" t="str"/>
      <x:c r="M319" s="108" t="str">
        <x:v>yes</x:v>
      </x:c>
      <x:c r="N319" s="108" t="str"/>
    </x:row>
    <x:row r="320" ht="34" customHeight="1">
      <x:c r="A320" s="108" t="str">
        <x:v>REQ-0318</x:v>
      </x:c>
      <x:c r="B320" s="108" t="str">
        <x:v>HVAC-003</x:v>
      </x:c>
      <x:c r="C320" s="108" t="str">
        <x:v>HVAC/PLUM</x:v>
      </x:c>
      <x:c r="D320" s="108" t="str">
        <x:v>drain_pipe_od</x:v>
      </x:c>
      <x:c r="E320" s="108" t="str"/>
      <x:c r="F320" s="108" t="str"/>
      <x:c r="G320" s="108" t="str">
        <x:v>mm</x:v>
      </x:c>
      <x:c r="H320" s="108" t="str"/>
      <x:c r="I320" s="108" t="str">
        <x:v>official_model_family</x:v>
      </x:c>
      <x:c r="J320" s="108" t="str">
        <x:v>pending</x:v>
      </x:c>
      <x:c r="K320" s="108" t="str">
        <x:v>RCP1-HVAC-IFACE-003</x:v>
      </x:c>
      <x:c r="L320" s="108" t="str"/>
      <x:c r="M320" s="108" t="str">
        <x:v>yes</x:v>
      </x:c>
      <x:c r="N320" s="108" t="str"/>
    </x:row>
    <x:row r="321" ht="34" customHeight="1">
      <x:c r="A321" s="108" t="str">
        <x:v>REQ-0319</x:v>
      </x:c>
      <x:c r="B321" s="108" t="str">
        <x:v>HVAC-003</x:v>
      </x:c>
      <x:c r="C321" s="108" t="str">
        <x:v>HVAC/PLUM</x:v>
      </x:c>
      <x:c r="D321" s="108" t="str">
        <x:v>drain_slope_min</x:v>
      </x:c>
      <x:c r="E321" s="108" t="str"/>
      <x:c r="F321" s="108" t="str"/>
      <x:c r="G321" s="108" t="str"/>
      <x:c r="H321" s="108" t="str"/>
      <x:c r="I321" s="108" t="str">
        <x:v>official_model_family</x:v>
      </x:c>
      <x:c r="J321" s="108" t="str">
        <x:v>pending</x:v>
      </x:c>
      <x:c r="K321" s="108" t="str">
        <x:v>RCP1-HVAC-IFACE-003</x:v>
      </x:c>
      <x:c r="L321" s="108" t="str"/>
      <x:c r="M321" s="108" t="str">
        <x:v>yes</x:v>
      </x:c>
      <x:c r="N321" s="108" t="str"/>
    </x:row>
    <x:row r="322" ht="34" customHeight="1">
      <x:c r="A322" s="108" t="str">
        <x:v>REQ-0320</x:v>
      </x:c>
      <x:c r="B322" s="108" t="str">
        <x:v>HVAC-003</x:v>
      </x:c>
      <x:c r="C322" s="108" t="str">
        <x:v>HVAC/PLUM</x:v>
      </x:c>
      <x:c r="D322" s="108" t="str">
        <x:v>drain_slope_max</x:v>
      </x:c>
      <x:c r="E322" s="108" t="str"/>
      <x:c r="F322" s="108" t="str"/>
      <x:c r="G322" s="108" t="str"/>
      <x:c r="H322" s="108" t="str"/>
      <x:c r="I322" s="108" t="str">
        <x:v>official_model_family</x:v>
      </x:c>
      <x:c r="J322" s="108" t="str">
        <x:v>pending</x:v>
      </x:c>
      <x:c r="K322" s="108" t="str">
        <x:v>RCP1-HVAC-IFACE-003</x:v>
      </x:c>
      <x:c r="L322" s="108" t="str"/>
      <x:c r="M322" s="108" t="str">
        <x:v>yes</x:v>
      </x:c>
      <x:c r="N322" s="108" t="str"/>
    </x:row>
    <x:row r="323" ht="34" customHeight="1">
      <x:c r="A323" s="108" t="str">
        <x:v>REQ-0321</x:v>
      </x:c>
      <x:c r="B323" s="108" t="str">
        <x:v>HVAC-003</x:v>
      </x:c>
      <x:c r="C323" s="108" t="str">
        <x:v>HVAC/PLUM</x:v>
      </x:c>
      <x:c r="D323" s="108" t="str">
        <x:v>connection_side_basis</x:v>
      </x:c>
      <x:c r="E323" s="108" t="str">
        <x:v>unresolved</x:v>
      </x:c>
      <x:c r="F323" s="108" t="str"/>
      <x:c r="G323" s="108" t="str"/>
      <x:c r="H323" s="108" t="str"/>
      <x:c r="I323" s="108" t="str">
        <x:v>official_model_family</x:v>
      </x:c>
      <x:c r="J323" s="108" t="str">
        <x:v>candidate</x:v>
      </x:c>
      <x:c r="K323" s="108" t="str">
        <x:v>RCP1-HVAC-IFACE-003</x:v>
      </x:c>
      <x:c r="L323" s="108" t="str"/>
      <x:c r="M323" s="108" t="str">
        <x:v>no</x:v>
      </x:c>
      <x:c r="N323" s="108" t="str"/>
    </x:row>
    <x:row r="324" ht="34" customHeight="1">
      <x:c r="A324" s="108" t="str">
        <x:v>REQ-0322</x:v>
      </x:c>
      <x:c r="B324" s="108" t="str">
        <x:v>HVAC-003</x:v>
      </x:c>
      <x:c r="C324" s="108" t="str">
        <x:v>HVAC/PLUM</x:v>
      </x:c>
      <x:c r="D324" s="108" t="str">
        <x:v>port_coordinate_status</x:v>
      </x:c>
      <x:c r="E324" s="108" t="str">
        <x:v>unresolved_exact_model_required</x:v>
      </x:c>
      <x:c r="F324" s="108" t="str"/>
      <x:c r="G324" s="108" t="str"/>
      <x:c r="H324" s="108" t="str"/>
      <x:c r="I324" s="108" t="str">
        <x:v>official_model_family</x:v>
      </x:c>
      <x:c r="J324" s="108" t="str">
        <x:v>candidate</x:v>
      </x:c>
      <x:c r="K324" s="108" t="str">
        <x:v>RCP1-HVAC-IFACE-003</x:v>
      </x:c>
      <x:c r="L324" s="108" t="str"/>
      <x:c r="M324" s="108" t="str">
        <x:v>no</x:v>
      </x:c>
      <x:c r="N324" s="108" t="str"/>
    </x:row>
    <x:row r="325" ht="34" customHeight="1">
      <x:c r="A325" s="108" t="str">
        <x:v>REQ-0323</x:v>
      </x:c>
      <x:c r="B325" s="108" t="str">
        <x:v>HVAC-004</x:v>
      </x:c>
      <x:c r="C325" s="108" t="str">
        <x:v>HVAC/PLUM</x:v>
      </x:c>
      <x:c r="D325" s="108" t="str">
        <x:v>nominal_body_width</x:v>
      </x:c>
      <x:c r="E325" s="108" t="str"/>
      <x:c r="F325" s="108" t="str"/>
      <x:c r="G325" s="108" t="str">
        <x:v>mm</x:v>
      </x:c>
      <x:c r="H325" s="108" t="str"/>
      <x:c r="I325" s="108" t="str">
        <x:v>project_candidate</x:v>
      </x:c>
      <x:c r="J325" s="108" t="str">
        <x:v>pending</x:v>
      </x:c>
      <x:c r="K325" s="108" t="str">
        <x:v>RCP1-HVAC-IFACE-004</x:v>
      </x:c>
      <x:c r="L325" s="108" t="str"/>
      <x:c r="M325" s="108" t="str">
        <x:v>yes</x:v>
      </x:c>
      <x:c r="N325" s="108" t="str"/>
    </x:row>
    <x:row r="326" ht="34" customHeight="1">
      <x:c r="A326" s="108" t="str">
        <x:v>REQ-0324</x:v>
      </x:c>
      <x:c r="B326" s="108" t="str">
        <x:v>HVAC-004</x:v>
      </x:c>
      <x:c r="C326" s="108" t="str">
        <x:v>HVAC/PLUM</x:v>
      </x:c>
      <x:c r="D326" s="108" t="str">
        <x:v>nominal_body_depth</x:v>
      </x:c>
      <x:c r="E326" s="108" t="str"/>
      <x:c r="F326" s="108" t="str"/>
      <x:c r="G326" s="108" t="str">
        <x:v>mm</x:v>
      </x:c>
      <x:c r="H326" s="108" t="str"/>
      <x:c r="I326" s="108" t="str">
        <x:v>project_candidate</x:v>
      </x:c>
      <x:c r="J326" s="108" t="str">
        <x:v>pending</x:v>
      </x:c>
      <x:c r="K326" s="108" t="str">
        <x:v>RCP1-HVAC-IFACE-004</x:v>
      </x:c>
      <x:c r="L326" s="108" t="str"/>
      <x:c r="M326" s="108" t="str">
        <x:v>yes</x:v>
      </x:c>
      <x:c r="N326" s="108" t="str"/>
    </x:row>
    <x:row r="327" ht="34" customHeight="1">
      <x:c r="A327" s="108" t="str">
        <x:v>REQ-0325</x:v>
      </x:c>
      <x:c r="B327" s="108" t="str">
        <x:v>HVAC-004</x:v>
      </x:c>
      <x:c r="C327" s="108" t="str">
        <x:v>HVAC/PLUM</x:v>
      </x:c>
      <x:c r="D327" s="108" t="str">
        <x:v>nominal_body_height</x:v>
      </x:c>
      <x:c r="E327" s="108" t="str"/>
      <x:c r="F327" s="108" t="str"/>
      <x:c r="G327" s="108" t="str">
        <x:v>mm</x:v>
      </x:c>
      <x:c r="H327" s="108" t="str"/>
      <x:c r="I327" s="108" t="str">
        <x:v>project_candidate</x:v>
      </x:c>
      <x:c r="J327" s="108" t="str">
        <x:v>pending</x:v>
      </x:c>
      <x:c r="K327" s="108" t="str">
        <x:v>RCP1-HVAC-IFACE-004</x:v>
      </x:c>
      <x:c r="L327" s="108" t="str"/>
      <x:c r="M327" s="108" t="str">
        <x:v>yes</x:v>
      </x:c>
      <x:c r="N327" s="108" t="str"/>
    </x:row>
    <x:row r="328" ht="34" customHeight="1">
      <x:c r="A328" s="108" t="str">
        <x:v>REQ-0326</x:v>
      </x:c>
      <x:c r="B328" s="108" t="str">
        <x:v>HVAC-004</x:v>
      </x:c>
      <x:c r="C328" s="108" t="str">
        <x:v>HVAC/PLUM</x:v>
      </x:c>
      <x:c r="D328" s="108" t="str">
        <x:v>capacity_group</x:v>
      </x:c>
      <x:c r="E328" s="108" t="str"/>
      <x:c r="F328" s="108" t="str"/>
      <x:c r="G328" s="108" t="str"/>
      <x:c r="H328" s="108" t="str"/>
      <x:c r="I328" s="108" t="str">
        <x:v>project_candidate</x:v>
      </x:c>
      <x:c r="J328" s="108" t="str">
        <x:v>pending</x:v>
      </x:c>
      <x:c r="K328" s="108" t="str">
        <x:v>RCP1-HVAC-IFACE-004</x:v>
      </x:c>
      <x:c r="L328" s="108" t="str"/>
      <x:c r="M328" s="108" t="str">
        <x:v>yes</x:v>
      </x:c>
      <x:c r="N328" s="108" t="str"/>
    </x:row>
    <x:row r="329" ht="34" customHeight="1">
      <x:c r="A329" s="108" t="str">
        <x:v>REQ-0327</x:v>
      </x:c>
      <x:c r="B329" s="108" t="str">
        <x:v>HVAC-004</x:v>
      </x:c>
      <x:c r="C329" s="108" t="str">
        <x:v>HVAC/PLUM</x:v>
      </x:c>
      <x:c r="D329" s="108" t="str">
        <x:v>gas_pipe_od</x:v>
      </x:c>
      <x:c r="E329" s="108" t="str"/>
      <x:c r="F329" s="108" t="str"/>
      <x:c r="G329" s="108" t="str">
        <x:v>mm</x:v>
      </x:c>
      <x:c r="H329" s="108" t="str"/>
      <x:c r="I329" s="108" t="str">
        <x:v>project_candidate</x:v>
      </x:c>
      <x:c r="J329" s="108" t="str">
        <x:v>pending</x:v>
      </x:c>
      <x:c r="K329" s="108" t="str">
        <x:v>RCP1-HVAC-IFACE-004</x:v>
      </x:c>
      <x:c r="L329" s="108" t="str"/>
      <x:c r="M329" s="108" t="str">
        <x:v>yes</x:v>
      </x:c>
      <x:c r="N329" s="108" t="str"/>
    </x:row>
    <x:row r="330" ht="34" customHeight="1">
      <x:c r="A330" s="108" t="str">
        <x:v>REQ-0328</x:v>
      </x:c>
      <x:c r="B330" s="108" t="str">
        <x:v>HVAC-004</x:v>
      </x:c>
      <x:c r="C330" s="108" t="str">
        <x:v>HVAC/PLUM</x:v>
      </x:c>
      <x:c r="D330" s="108" t="str">
        <x:v>liquid_pipe_od</x:v>
      </x:c>
      <x:c r="E330" s="108" t="str"/>
      <x:c r="F330" s="108" t="str"/>
      <x:c r="G330" s="108" t="str">
        <x:v>mm</x:v>
      </x:c>
      <x:c r="H330" s="108" t="str"/>
      <x:c r="I330" s="108" t="str">
        <x:v>project_candidate</x:v>
      </x:c>
      <x:c r="J330" s="108" t="str">
        <x:v>pending</x:v>
      </x:c>
      <x:c r="K330" s="108" t="str">
        <x:v>RCP1-HVAC-IFACE-004</x:v>
      </x:c>
      <x:c r="L330" s="108" t="str"/>
      <x:c r="M330" s="108" t="str">
        <x:v>yes</x:v>
      </x:c>
      <x:c r="N330" s="108" t="str"/>
    </x:row>
    <x:row r="331" ht="34" customHeight="1">
      <x:c r="A331" s="108" t="str">
        <x:v>REQ-0329</x:v>
      </x:c>
      <x:c r="B331" s="108" t="str">
        <x:v>HVAC-004</x:v>
      </x:c>
      <x:c r="C331" s="108" t="str">
        <x:v>HVAC/PLUM</x:v>
      </x:c>
      <x:c r="D331" s="108" t="str">
        <x:v>drain_pipe_od</x:v>
      </x:c>
      <x:c r="E331" s="108" t="str"/>
      <x:c r="F331" s="108" t="str"/>
      <x:c r="G331" s="108" t="str">
        <x:v>mm</x:v>
      </x:c>
      <x:c r="H331" s="108" t="str"/>
      <x:c r="I331" s="108" t="str">
        <x:v>project_candidate</x:v>
      </x:c>
      <x:c r="J331" s="108" t="str">
        <x:v>pending</x:v>
      </x:c>
      <x:c r="K331" s="108" t="str">
        <x:v>RCP1-HVAC-IFACE-004</x:v>
      </x:c>
      <x:c r="L331" s="108" t="str"/>
      <x:c r="M331" s="108" t="str">
        <x:v>yes</x:v>
      </x:c>
      <x:c r="N331" s="108" t="str"/>
    </x:row>
    <x:row r="332" ht="34" customHeight="1">
      <x:c r="A332" s="108" t="str">
        <x:v>REQ-0330</x:v>
      </x:c>
      <x:c r="B332" s="108" t="str">
        <x:v>HVAC-004</x:v>
      </x:c>
      <x:c r="C332" s="108" t="str">
        <x:v>HVAC/PLUM</x:v>
      </x:c>
      <x:c r="D332" s="108" t="str">
        <x:v>drain_slope_min</x:v>
      </x:c>
      <x:c r="E332" s="108" t="str"/>
      <x:c r="F332" s="108" t="str"/>
      <x:c r="G332" s="108" t="str"/>
      <x:c r="H332" s="108" t="str"/>
      <x:c r="I332" s="108" t="str">
        <x:v>project_candidate</x:v>
      </x:c>
      <x:c r="J332" s="108" t="str">
        <x:v>pending</x:v>
      </x:c>
      <x:c r="K332" s="108" t="str">
        <x:v>RCP1-HVAC-IFACE-004</x:v>
      </x:c>
      <x:c r="L332" s="108" t="str"/>
      <x:c r="M332" s="108" t="str">
        <x:v>yes</x:v>
      </x:c>
      <x:c r="N332" s="108" t="str"/>
    </x:row>
    <x:row r="333" ht="34" customHeight="1">
      <x:c r="A333" s="108" t="str">
        <x:v>REQ-0331</x:v>
      </x:c>
      <x:c r="B333" s="108" t="str">
        <x:v>HVAC-004</x:v>
      </x:c>
      <x:c r="C333" s="108" t="str">
        <x:v>HVAC/PLUM</x:v>
      </x:c>
      <x:c r="D333" s="108" t="str">
        <x:v>drain_slope_max</x:v>
      </x:c>
      <x:c r="E333" s="108" t="str"/>
      <x:c r="F333" s="108" t="str"/>
      <x:c r="G333" s="108" t="str"/>
      <x:c r="H333" s="108" t="str"/>
      <x:c r="I333" s="108" t="str">
        <x:v>project_candidate</x:v>
      </x:c>
      <x:c r="J333" s="108" t="str">
        <x:v>pending</x:v>
      </x:c>
      <x:c r="K333" s="108" t="str">
        <x:v>RCP1-HVAC-IFACE-004</x:v>
      </x:c>
      <x:c r="L333" s="108" t="str"/>
      <x:c r="M333" s="108" t="str">
        <x:v>yes</x:v>
      </x:c>
      <x:c r="N333" s="108" t="str"/>
    </x:row>
    <x:row r="334" ht="34" customHeight="1">
      <x:c r="A334" s="108" t="str">
        <x:v>REQ-0332</x:v>
      </x:c>
      <x:c r="B334" s="108" t="str">
        <x:v>HVAC-004</x:v>
      </x:c>
      <x:c r="C334" s="108" t="str">
        <x:v>HVAC/PLUM</x:v>
      </x:c>
      <x:c r="D334" s="108" t="str">
        <x:v>connection_side_basis</x:v>
      </x:c>
      <x:c r="E334" s="108" t="str">
        <x:v>unresolved</x:v>
      </x:c>
      <x:c r="F334" s="108" t="str"/>
      <x:c r="G334" s="108" t="str"/>
      <x:c r="H334" s="108" t="str"/>
      <x:c r="I334" s="108" t="str">
        <x:v>project_candidate</x:v>
      </x:c>
      <x:c r="J334" s="108" t="str">
        <x:v>candidate</x:v>
      </x:c>
      <x:c r="K334" s="108" t="str">
        <x:v>RCP1-HVAC-IFACE-004</x:v>
      </x:c>
      <x:c r="L334" s="108" t="str"/>
      <x:c r="M334" s="108" t="str">
        <x:v>no</x:v>
      </x:c>
      <x:c r="N334" s="108" t="str"/>
    </x:row>
    <x:row r="335" ht="34" customHeight="1">
      <x:c r="A335" s="108" t="str">
        <x:v>REQ-0333</x:v>
      </x:c>
      <x:c r="B335" s="108" t="str">
        <x:v>HVAC-004</x:v>
      </x:c>
      <x:c r="C335" s="108" t="str">
        <x:v>HVAC/PLUM</x:v>
      </x:c>
      <x:c r="D335" s="108" t="str">
        <x:v>port_coordinate_status</x:v>
      </x:c>
      <x:c r="E335" s="108" t="str">
        <x:v>formal_ifc_identity_required</x:v>
      </x:c>
      <x:c r="F335" s="108" t="str"/>
      <x:c r="G335" s="108" t="str"/>
      <x:c r="H335" s="108" t="str"/>
      <x:c r="I335" s="108" t="str">
        <x:v>project_candidate</x:v>
      </x:c>
      <x:c r="J335" s="108" t="str">
        <x:v>candidate</x:v>
      </x:c>
      <x:c r="K335" s="108" t="str">
        <x:v>RCP1-HVAC-IFACE-004</x:v>
      </x:c>
      <x:c r="L335" s="108" t="str"/>
      <x:c r="M335" s="108" t="str">
        <x:v>no</x:v>
      </x:c>
      <x:c r="N335" s="108" t="str"/>
    </x:row>
    <x:row r="336" ht="34" customHeight="1">
      <x:c r="A336" s="108" t="str">
        <x:v>REQ-0334</x:v>
      </x:c>
      <x:c r="B336" s="108" t="str">
        <x:v>APP-001</x:v>
      </x:c>
      <x:c r="C336" s="108" t="str">
        <x:v>ELEC</x:v>
      </x:c>
      <x:c r="D336" s="108" t="str">
        <x:v>candidate_power_min</x:v>
      </x:c>
      <x:c r="E336" s="108" t="str"/>
      <x:c r="F336" s="108" t="str">
        <x:v>1500</x:v>
      </x:c>
      <x:c r="G336" s="108" t="str">
        <x:v>W</x:v>
      </x:c>
      <x:c r="H336" s="108" t="str"/>
      <x:c r="I336" s="108" t="str">
        <x:v>project_candidate</x:v>
      </x:c>
      <x:c r="J336" s="108" t="str">
        <x:v>candidate</x:v>
      </x:c>
      <x:c r="K336" s="108" t="str"/>
      <x:c r="L336" s="108" t="str"/>
      <x:c r="M336" s="108" t="str">
        <x:v>yes</x:v>
      </x:c>
      <x:c r="N336" s="108" t="str">
        <x:v>常见值仅用于回路容量情景，不代表已选产品</x:v>
      </x:c>
    </x:row>
    <x:row r="337" ht="34" customHeight="1">
      <x:c r="A337" s="108" t="str">
        <x:v>REQ-0335</x:v>
      </x:c>
      <x:c r="B337" s="108" t="str">
        <x:v>APP-001</x:v>
      </x:c>
      <x:c r="C337" s="108" t="str">
        <x:v>ELEC</x:v>
      </x:c>
      <x:c r="D337" s="108" t="str">
        <x:v>candidate_power_max</x:v>
      </x:c>
      <x:c r="E337" s="108" t="str"/>
      <x:c r="F337" s="108" t="str">
        <x:v>2200</x:v>
      </x:c>
      <x:c r="G337" s="108" t="str">
        <x:v>W</x:v>
      </x:c>
      <x:c r="H337" s="108" t="str"/>
      <x:c r="I337" s="108" t="str">
        <x:v>project_candidate</x:v>
      </x:c>
      <x:c r="J337" s="108" t="str">
        <x:v>candidate</x:v>
      </x:c>
      <x:c r="K337" s="108" t="str"/>
      <x:c r="L337" s="108" t="str"/>
      <x:c r="M337" s="108" t="str">
        <x:v>yes</x:v>
      </x:c>
      <x:c r="N337" s="108" t="str">
        <x:v>常见值仅用于回路容量情景，不代表已选产品</x:v>
      </x:c>
    </x:row>
    <x:row r="338" ht="34" customHeight="1">
      <x:c r="A338" s="108" t="str">
        <x:v>REQ-0336</x:v>
      </x:c>
      <x:c r="B338" s="108" t="str">
        <x:v>APP-002</x:v>
      </x:c>
      <x:c r="C338" s="108" t="str">
        <x:v>ELEC</x:v>
      </x:c>
      <x:c r="D338" s="108" t="str">
        <x:v>candidate_power_min</x:v>
      </x:c>
      <x:c r="E338" s="108" t="str"/>
      <x:c r="F338" s="108" t="str">
        <x:v>300</x:v>
      </x:c>
      <x:c r="G338" s="108" t="str">
        <x:v>W</x:v>
      </x:c>
      <x:c r="H338" s="108" t="str"/>
      <x:c r="I338" s="108" t="str">
        <x:v>project_candidate</x:v>
      </x:c>
      <x:c r="J338" s="108" t="str">
        <x:v>candidate</x:v>
      </x:c>
      <x:c r="K338" s="108" t="str"/>
      <x:c r="L338" s="108" t="str"/>
      <x:c r="M338" s="108" t="str">
        <x:v>yes</x:v>
      </x:c>
      <x:c r="N338" s="108" t="str">
        <x:v>常见值仅用于回路容量情景，不代表已选产品</x:v>
      </x:c>
    </x:row>
    <x:row r="339" ht="34" customHeight="1">
      <x:c r="A339" s="108" t="str">
        <x:v>REQ-0337</x:v>
      </x:c>
      <x:c r="B339" s="108" t="str">
        <x:v>APP-002</x:v>
      </x:c>
      <x:c r="C339" s="108" t="str">
        <x:v>ELEC</x:v>
      </x:c>
      <x:c r="D339" s="108" t="str">
        <x:v>candidate_power_max</x:v>
      </x:c>
      <x:c r="E339" s="108" t="str"/>
      <x:c r="F339" s="108" t="str">
        <x:v>1200</x:v>
      </x:c>
      <x:c r="G339" s="108" t="str">
        <x:v>W</x:v>
      </x:c>
      <x:c r="H339" s="108" t="str"/>
      <x:c r="I339" s="108" t="str">
        <x:v>project_candidate</x:v>
      </x:c>
      <x:c r="J339" s="108" t="str">
        <x:v>candidate</x:v>
      </x:c>
      <x:c r="K339" s="108" t="str"/>
      <x:c r="L339" s="108" t="str"/>
      <x:c r="M339" s="108" t="str">
        <x:v>yes</x:v>
      </x:c>
      <x:c r="N339" s="108" t="str">
        <x:v>常见值仅用于回路容量情景，不代表已选产品</x:v>
      </x:c>
    </x:row>
    <x:row r="340" ht="34" customHeight="1">
      <x:c r="A340" s="108" t="str">
        <x:v>REQ-0338</x:v>
      </x:c>
      <x:c r="B340" s="108" t="str">
        <x:v>APP-003</x:v>
      </x:c>
      <x:c r="C340" s="108" t="str">
        <x:v>ELEC</x:v>
      </x:c>
      <x:c r="D340" s="108" t="str">
        <x:v>candidate_power_min</x:v>
      </x:c>
      <x:c r="E340" s="108" t="str"/>
      <x:c r="F340" s="108" t="str">
        <x:v>800</x:v>
      </x:c>
      <x:c r="G340" s="108" t="str">
        <x:v>W</x:v>
      </x:c>
      <x:c r="H340" s="108" t="str"/>
      <x:c r="I340" s="108" t="str">
        <x:v>project_candidate</x:v>
      </x:c>
      <x:c r="J340" s="108" t="str">
        <x:v>candidate</x:v>
      </x:c>
      <x:c r="K340" s="108" t="str"/>
      <x:c r="L340" s="108" t="str"/>
      <x:c r="M340" s="108" t="str">
        <x:v>yes</x:v>
      </x:c>
      <x:c r="N340" s="108" t="str">
        <x:v>常见值仅用于回路容量情景，不代表已选产品</x:v>
      </x:c>
    </x:row>
    <x:row r="341" ht="34" customHeight="1">
      <x:c r="A341" s="108" t="str">
        <x:v>REQ-0339</x:v>
      </x:c>
      <x:c r="B341" s="108" t="str">
        <x:v>APP-003</x:v>
      </x:c>
      <x:c r="C341" s="108" t="str">
        <x:v>ELEC</x:v>
      </x:c>
      <x:c r="D341" s="108" t="str">
        <x:v>candidate_power_max</x:v>
      </x:c>
      <x:c r="E341" s="108" t="str"/>
      <x:c r="F341" s="108" t="str">
        <x:v>1500</x:v>
      </x:c>
      <x:c r="G341" s="108" t="str">
        <x:v>W</x:v>
      </x:c>
      <x:c r="H341" s="108" t="str"/>
      <x:c r="I341" s="108" t="str">
        <x:v>project_candidate</x:v>
      </x:c>
      <x:c r="J341" s="108" t="str">
        <x:v>candidate</x:v>
      </x:c>
      <x:c r="K341" s="108" t="str"/>
      <x:c r="L341" s="108" t="str"/>
      <x:c r="M341" s="108" t="str">
        <x:v>yes</x:v>
      </x:c>
      <x:c r="N341" s="108" t="str">
        <x:v>常见值仅用于回路容量情景，不代表已选产品</x:v>
      </x:c>
    </x:row>
    <x:row r="342" ht="34" customHeight="1">
      <x:c r="A342" s="108" t="str">
        <x:v>REQ-0340</x:v>
      </x:c>
      <x:c r="B342" s="108" t="str">
        <x:v>APP-004</x:v>
      </x:c>
      <x:c r="C342" s="108" t="str">
        <x:v>ELEC</x:v>
      </x:c>
      <x:c r="D342" s="108" t="str">
        <x:v>candidate_power_min</x:v>
      </x:c>
      <x:c r="E342" s="108" t="str"/>
      <x:c r="F342" s="108" t="str">
        <x:v>1200</x:v>
      </x:c>
      <x:c r="G342" s="108" t="str">
        <x:v>W</x:v>
      </x:c>
      <x:c r="H342" s="108" t="str"/>
      <x:c r="I342" s="108" t="str">
        <x:v>project_candidate</x:v>
      </x:c>
      <x:c r="J342" s="108" t="str">
        <x:v>candidate</x:v>
      </x:c>
      <x:c r="K342" s="108" t="str"/>
      <x:c r="L342" s="108" t="str"/>
      <x:c r="M342" s="108" t="str">
        <x:v>yes</x:v>
      </x:c>
      <x:c r="N342" s="108" t="str">
        <x:v>常见值仅用于回路容量情景，不代表已选产品</x:v>
      </x:c>
    </x:row>
    <x:row r="343" ht="34" customHeight="1">
      <x:c r="A343" s="108" t="str">
        <x:v>REQ-0341</x:v>
      </x:c>
      <x:c r="B343" s="108" t="str">
        <x:v>APP-004</x:v>
      </x:c>
      <x:c r="C343" s="108" t="str">
        <x:v>ELEC</x:v>
      </x:c>
      <x:c r="D343" s="108" t="str">
        <x:v>candidate_power_max</x:v>
      </x:c>
      <x:c r="E343" s="108" t="str"/>
      <x:c r="F343" s="108" t="str">
        <x:v>1800</x:v>
      </x:c>
      <x:c r="G343" s="108" t="str">
        <x:v>W</x:v>
      </x:c>
      <x:c r="H343" s="108" t="str"/>
      <x:c r="I343" s="108" t="str">
        <x:v>project_candidate</x:v>
      </x:c>
      <x:c r="J343" s="108" t="str">
        <x:v>candidate</x:v>
      </x:c>
      <x:c r="K343" s="108" t="str"/>
      <x:c r="L343" s="108" t="str"/>
      <x:c r="M343" s="108" t="str">
        <x:v>yes</x:v>
      </x:c>
      <x:c r="N343" s="108" t="str">
        <x:v>常见值仅用于回路容量情景，不代表已选产品</x:v>
      </x:c>
    </x:row>
    <x:row r="344" ht="34" customHeight="1">
      <x:c r="A344" s="108" t="str">
        <x:v>REQ-0342</x:v>
      </x:c>
      <x:c r="B344" s="108" t="str">
        <x:v>APP-005</x:v>
      </x:c>
      <x:c r="C344" s="108" t="str">
        <x:v>ELEC</x:v>
      </x:c>
      <x:c r="D344" s="108" t="str">
        <x:v>candidate_power_min</x:v>
      </x:c>
      <x:c r="E344" s="108" t="str"/>
      <x:c r="F344" s="108" t="str">
        <x:v>1000</x:v>
      </x:c>
      <x:c r="G344" s="108" t="str">
        <x:v>W</x:v>
      </x:c>
      <x:c r="H344" s="108" t="str"/>
      <x:c r="I344" s="108" t="str">
        <x:v>project_candidate</x:v>
      </x:c>
      <x:c r="J344" s="108" t="str">
        <x:v>candidate</x:v>
      </x:c>
      <x:c r="K344" s="108" t="str"/>
      <x:c r="L344" s="108" t="str"/>
      <x:c r="M344" s="108" t="str">
        <x:v>yes</x:v>
      </x:c>
      <x:c r="N344" s="108" t="str">
        <x:v>常见值仅用于回路容量情景，不代表已选产品</x:v>
      </x:c>
    </x:row>
    <x:row r="345" ht="34" customHeight="1">
      <x:c r="A345" s="108" t="str">
        <x:v>REQ-0343</x:v>
      </x:c>
      <x:c r="B345" s="108" t="str">
        <x:v>APP-005</x:v>
      </x:c>
      <x:c r="C345" s="108" t="str">
        <x:v>ELEC</x:v>
      </x:c>
      <x:c r="D345" s="108" t="str">
        <x:v>candidate_power_max</x:v>
      </x:c>
      <x:c r="E345" s="108" t="str"/>
      <x:c r="F345" s="108" t="str">
        <x:v>1800</x:v>
      </x:c>
      <x:c r="G345" s="108" t="str">
        <x:v>W</x:v>
      </x:c>
      <x:c r="H345" s="108" t="str"/>
      <x:c r="I345" s="108" t="str">
        <x:v>project_candidate</x:v>
      </x:c>
      <x:c r="J345" s="108" t="str">
        <x:v>candidate</x:v>
      </x:c>
      <x:c r="K345" s="108" t="str"/>
      <x:c r="L345" s="108" t="str"/>
      <x:c r="M345" s="108" t="str">
        <x:v>yes</x:v>
      </x:c>
      <x:c r="N345" s="108" t="str">
        <x:v>常见值仅用于回路容量情景，不代表已选产品</x:v>
      </x:c>
    </x:row>
    <x:row r="346" ht="34" customHeight="1">
      <x:c r="A346" s="108" t="str">
        <x:v>REQ-0344</x:v>
      </x:c>
      <x:c r="B346" s="108" t="str">
        <x:v>APP-006</x:v>
      </x:c>
      <x:c r="C346" s="108" t="str">
        <x:v>ELEC</x:v>
      </x:c>
      <x:c r="D346" s="108" t="str">
        <x:v>candidate_power_min</x:v>
      </x:c>
      <x:c r="E346" s="108" t="str"/>
      <x:c r="F346" s="108" t="str">
        <x:v>150</x:v>
      </x:c>
      <x:c r="G346" s="108" t="str">
        <x:v>W</x:v>
      </x:c>
      <x:c r="H346" s="108" t="str"/>
      <x:c r="I346" s="108" t="str">
        <x:v>project_candidate</x:v>
      </x:c>
      <x:c r="J346" s="108" t="str">
        <x:v>candidate</x:v>
      </x:c>
      <x:c r="K346" s="108" t="str"/>
      <x:c r="L346" s="108" t="str"/>
      <x:c r="M346" s="108" t="str">
        <x:v>yes</x:v>
      </x:c>
      <x:c r="N346" s="108" t="str">
        <x:v>常见值仅用于回路容量情景，不代表已选产品</x:v>
      </x:c>
    </x:row>
    <x:row r="347" ht="34" customHeight="1">
      <x:c r="A347" s="108" t="str">
        <x:v>REQ-0345</x:v>
      </x:c>
      <x:c r="B347" s="108" t="str">
        <x:v>APP-006</x:v>
      </x:c>
      <x:c r="C347" s="108" t="str">
        <x:v>ELEC</x:v>
      </x:c>
      <x:c r="D347" s="108" t="str">
        <x:v>candidate_power_max</x:v>
      </x:c>
      <x:c r="E347" s="108" t="str"/>
      <x:c r="F347" s="108" t="str">
        <x:v>400</x:v>
      </x:c>
      <x:c r="G347" s="108" t="str">
        <x:v>W</x:v>
      </x:c>
      <x:c r="H347" s="108" t="str"/>
      <x:c r="I347" s="108" t="str">
        <x:v>project_candidate</x:v>
      </x:c>
      <x:c r="J347" s="108" t="str">
        <x:v>candidate</x:v>
      </x:c>
      <x:c r="K347" s="108" t="str"/>
      <x:c r="L347" s="108" t="str"/>
      <x:c r="M347" s="108" t="str">
        <x:v>yes</x:v>
      </x:c>
      <x:c r="N347" s="108" t="str">
        <x:v>常见值仅用于回路容量情景，不代表已选产品</x:v>
      </x:c>
    </x:row>
    <x:row r="348" ht="34" customHeight="1">
      <x:c r="A348" s="108" t="str">
        <x:v>REQ-0346</x:v>
      </x:c>
      <x:c r="B348" s="108" t="str">
        <x:v>FURIFC-031</x:v>
      </x:c>
      <x:c r="C348" s="108" t="str">
        <x:v>INT1</x:v>
      </x:c>
      <x:c r="D348" s="108" t="str">
        <x:v>installation_role</x:v>
      </x:c>
      <x:c r="E348" s="108" t="str">
        <x:v>fixed_furniture</x:v>
      </x:c>
      <x:c r="F348" s="108" t="str"/>
      <x:c r="G348" s="108" t="str"/>
      <x:c r="H348" s="108" t="str"/>
      <x:c r="I348" s="108" t="str">
        <x:v>project_candidate</x:v>
      </x:c>
      <x:c r="J348" s="108" t="str">
        <x:v>confirmed</x:v>
      </x:c>
      <x:c r="K348" s="108" t="str">
        <x:v>FUR-ROLE-SRC-ac1af453d928</x:v>
      </x:c>
      <x:c r="L348" s="108" t="str"/>
      <x:c r="M348" s="108" t="str">
        <x:v>no</x:v>
      </x:c>
      <x:c r="N348" s="108" t="str">
        <x:v>类型与 VVD 中 600×767×888 mm 几何共同识别为岛台固定柜体单元 | confidence=0.99</x:v>
      </x:c>
    </x:row>
    <x:row r="349" ht="34" customHeight="1">
      <x:c r="A349" s="108" t="str">
        <x:v>REQ-0347</x:v>
      </x:c>
      <x:c r="B349" s="108" t="str">
        <x:v>FURIFC-062</x:v>
      </x:c>
      <x:c r="C349" s="108" t="str">
        <x:v>INT1</x:v>
      </x:c>
      <x:c r="D349" s="108" t="str">
        <x:v>installation_role</x:v>
      </x:c>
      <x:c r="E349" s="108" t="str">
        <x:v>fixed_furniture</x:v>
      </x:c>
      <x:c r="F349" s="108" t="str"/>
      <x:c r="G349" s="108" t="str"/>
      <x:c r="H349" s="108" t="str"/>
      <x:c r="I349" s="108" t="str">
        <x:v>project_candidate</x:v>
      </x:c>
      <x:c r="J349" s="108" t="str">
        <x:v>confirmed</x:v>
      </x:c>
      <x:c r="K349" s="108" t="str">
        <x:v>FUR-ROLE-SRC-facd5fffb5d0</x:v>
      </x:c>
      <x:c r="L349" s="108" t="str"/>
      <x:c r="M349" s="108" t="str">
        <x:v>no</x:v>
      </x:c>
      <x:c r="N349" s="108" t="str">
        <x:v>类型与 VVD 中 600×767×693 mm 几何共同识别为岛台固定柜体单元 | confidence=0.99</x:v>
      </x:c>
    </x:row>
    <x:row r="350" ht="34" customHeight="1">
      <x:c r="A350" s="108" t="str">
        <x:v>REQ-0348</x:v>
      </x:c>
      <x:c r="B350" s="108" t="str">
        <x:v>FURIFC-033</x:v>
      </x:c>
      <x:c r="C350" s="108" t="str">
        <x:v>INT1</x:v>
      </x:c>
      <x:c r="D350" s="108" t="str">
        <x:v>installation_role</x:v>
      </x:c>
      <x:c r="E350" s="108" t="str">
        <x:v>fixed_furniture</x:v>
      </x:c>
      <x:c r="F350" s="108" t="str"/>
      <x:c r="G350" s="108" t="str"/>
      <x:c r="H350" s="108" t="str"/>
      <x:c r="I350" s="108" t="str">
        <x:v>project_candidate</x:v>
      </x:c>
      <x:c r="J350" s="108" t="str">
        <x:v>confirmed</x:v>
      </x:c>
      <x:c r="K350" s="108" t="str">
        <x:v>FUR-ROLE-SRC-2a281d2df076</x:v>
      </x:c>
      <x:c r="L350" s="108" t="str"/>
      <x:c r="M350" s="108" t="str">
        <x:v>no</x:v>
      </x:c>
      <x:c r="N350" s="108" t="str">
        <x:v>类型与 KITCHEN 中 617×1200×888 mm 几何共同识别为固定地柜 | confidence=0.99</x:v>
      </x:c>
    </x:row>
    <x:row r="351" ht="34" customHeight="1">
      <x:c r="A351" s="108" t="str">
        <x:v>REQ-0349</x:v>
      </x:c>
      <x:c r="B351" s="108" t="str">
        <x:v>FURIFC-016</x:v>
      </x:c>
      <x:c r="C351" s="108" t="str">
        <x:v>INT1</x:v>
      </x:c>
      <x:c r="D351" s="108" t="str">
        <x:v>installation_role</x:v>
      </x:c>
      <x:c r="E351" s="108" t="str">
        <x:v>fixed_furniture</x:v>
      </x:c>
      <x:c r="F351" s="108" t="str"/>
      <x:c r="G351" s="108" t="str"/>
      <x:c r="H351" s="108" t="str"/>
      <x:c r="I351" s="108" t="str">
        <x:v>project_candidate</x:v>
      </x:c>
      <x:c r="J351" s="108" t="str">
        <x:v>confirmed</x:v>
      </x:c>
      <x:c r="K351" s="108" t="str">
        <x:v>FUR-ROLE-SRC-b86cabfea99b</x:v>
      </x:c>
      <x:c r="L351" s="108" t="str"/>
      <x:c r="M351" s="108" t="str">
        <x:v>no</x:v>
      </x:c>
      <x:c r="N351" s="108" t="str">
        <x:v>类型与 KITCHEN 中 617×450×888 mm 几何共同识别为固定地柜 | confidence=0.99</x:v>
      </x:c>
    </x:row>
    <x:row r="352" ht="34" customHeight="1">
      <x:c r="A352" s="108" t="str">
        <x:v>REQ-0350</x:v>
      </x:c>
      <x:c r="B352" s="108" t="str">
        <x:v>FURIFC-053</x:v>
      </x:c>
      <x:c r="C352" s="108" t="str">
        <x:v>INT1</x:v>
      </x:c>
      <x:c r="D352" s="108" t="str">
        <x:v>installation_role</x:v>
      </x:c>
      <x:c r="E352" s="108" t="str">
        <x:v>fixed_furniture</x:v>
      </x:c>
      <x:c r="F352" s="108" t="str"/>
      <x:c r="G352" s="108" t="str"/>
      <x:c r="H352" s="108" t="str"/>
      <x:c r="I352" s="108" t="str">
        <x:v>project_candidate</x:v>
      </x:c>
      <x:c r="J352" s="108" t="str">
        <x:v>confirmed</x:v>
      </x:c>
      <x:c r="K352" s="108" t="str">
        <x:v>FUR-ROLE-SRC-8d16f63cd607</x:v>
      </x:c>
      <x:c r="L352" s="108" t="str"/>
      <x:c r="M352" s="108" t="str">
        <x:v>no</x:v>
      </x:c>
      <x:c r="N352" s="108" t="str">
        <x:v>类型与 KITCHEN 中 617×900×888 mm 几何共同识别为固定地柜 | confidence=0.99</x:v>
      </x:c>
    </x:row>
    <x:row r="353" ht="34" customHeight="1">
      <x:c r="A353" s="108" t="str">
        <x:v>REQ-0351</x:v>
      </x:c>
      <x:c r="B353" s="108" t="str">
        <x:v>FURIFC-020</x:v>
      </x:c>
      <x:c r="C353" s="108" t="str">
        <x:v>INT1</x:v>
      </x:c>
      <x:c r="D353" s="108" t="str">
        <x:v>installation_role</x:v>
      </x:c>
      <x:c r="E353" s="108" t="str">
        <x:v>fixed_furniture</x:v>
      </x:c>
      <x:c r="F353" s="108" t="str"/>
      <x:c r="G353" s="108" t="str"/>
      <x:c r="H353" s="108" t="str"/>
      <x:c r="I353" s="108" t="str">
        <x:v>project_candidate</x:v>
      </x:c>
      <x:c r="J353" s="108" t="str">
        <x:v>confirmed</x:v>
      </x:c>
      <x:c r="K353" s="108" t="str">
        <x:v>FUR-ROLE-SRC-9fc483e31a2a</x:v>
      </x:c>
      <x:c r="L353" s="108" t="str"/>
      <x:c r="M353" s="108" t="str">
        <x:v>no</x:v>
      </x:c>
      <x:c r="N353" s="108" t="str">
        <x:v>类型与 KITCHEN 中 1100×750×888 mm 几何共同识别为固定转角柜单元 | confidence=0.99</x:v>
      </x:c>
    </x:row>
    <x:row r="354" ht="34" customHeight="1">
      <x:c r="A354" s="108" t="str">
        <x:v>REQ-0352</x:v>
      </x:c>
      <x:c r="B354" s="108" t="str">
        <x:v>FURIFC-039</x:v>
      </x:c>
      <x:c r="C354" s="108" t="str">
        <x:v>INT1</x:v>
      </x:c>
      <x:c r="D354" s="108" t="str">
        <x:v>installation_role</x:v>
      </x:c>
      <x:c r="E354" s="108" t="str">
        <x:v>fixed_furniture</x:v>
      </x:c>
      <x:c r="F354" s="108" t="str"/>
      <x:c r="G354" s="108" t="str"/>
      <x:c r="H354" s="108" t="str"/>
      <x:c r="I354" s="108" t="str">
        <x:v>project_candidate</x:v>
      </x:c>
      <x:c r="J354" s="108" t="str">
        <x:v>confirmed</x:v>
      </x:c>
      <x:c r="K354" s="108" t="str">
        <x:v>FUR-ROLE-SRC-707aa17747d8</x:v>
      </x:c>
      <x:c r="L354" s="108" t="str"/>
      <x:c r="M354" s="108" t="str">
        <x:v>no</x:v>
      </x:c>
      <x:c r="N354" s="108" t="str">
        <x:v>类型与 VVD 中 1200×331×693 mm 几何共同识别为岛台固定柜体单元 | confidence=0.99</x:v>
      </x:c>
    </x:row>
    <x:row r="355" ht="34" customHeight="1">
      <x:c r="A355" s="108" t="str">
        <x:v>REQ-0353</x:v>
      </x:c>
      <x:c r="B355" s="108" t="str">
        <x:v>FURIFC-057</x:v>
      </x:c>
      <x:c r="C355" s="108" t="str">
        <x:v>INT1</x:v>
      </x:c>
      <x:c r="D355" s="108" t="str">
        <x:v>installation_role</x:v>
      </x:c>
      <x:c r="E355" s="108" t="str">
        <x:v>fixed_furniture</x:v>
      </x:c>
      <x:c r="F355" s="108" t="str"/>
      <x:c r="G355" s="108" t="str"/>
      <x:c r="H355" s="108" t="str"/>
      <x:c r="I355" s="108" t="str">
        <x:v>project_candidate</x:v>
      </x:c>
      <x:c r="J355" s="108" t="str">
        <x:v>confirmed</x:v>
      </x:c>
      <x:c r="K355" s="108" t="str">
        <x:v>FUR-ROLE-SRC-777685e49639</x:v>
      </x:c>
      <x:c r="L355" s="108" t="str"/>
      <x:c r="M355" s="108" t="str">
        <x:v>no</x:v>
      </x:c>
      <x:c r="N355" s="108" t="str">
        <x:v>类型与 KITCHEN 中 1200×717×888 mm 几何共同识别为固定地柜 | confidence=0.99</x:v>
      </x:c>
    </x:row>
    <x:row r="356" ht="34" customHeight="1">
      <x:c r="A356" s="108" t="str">
        <x:v>REQ-0354</x:v>
      </x:c>
      <x:c r="B356" s="108" t="str">
        <x:v>FURIFC-017</x:v>
      </x:c>
      <x:c r="C356" s="108" t="str">
        <x:v>INT1</x:v>
      </x:c>
      <x:c r="D356" s="108" t="str">
        <x:v>installation_role</x:v>
      </x:c>
      <x:c r="E356" s="108" t="str">
        <x:v>fixed_furniture</x:v>
      </x:c>
      <x:c r="F356" s="108" t="str"/>
      <x:c r="G356" s="108" t="str"/>
      <x:c r="H356" s="108" t="str"/>
      <x:c r="I356" s="108" t="str">
        <x:v>project_candidate</x:v>
      </x:c>
      <x:c r="J356" s="108" t="str">
        <x:v>confirmed</x:v>
      </x:c>
      <x:c r="K356" s="108" t="str">
        <x:v>FUR-ROLE-SRC-4f435c4b8701</x:v>
      </x:c>
      <x:c r="L356" s="108" t="str"/>
      <x:c r="M356" s="108" t="str">
        <x:v>no</x:v>
      </x:c>
      <x:c r="N356" s="108" t="str">
        <x:v>类型与 KITCHEN 中 450×717×888 mm 几何共同识别为固定地柜 | confidence=0.99</x:v>
      </x:c>
    </x:row>
    <x:row r="357" ht="34" customHeight="1">
      <x:c r="A357" s="108" t="str">
        <x:v>REQ-0355</x:v>
      </x:c>
      <x:c r="B357" s="108" t="str">
        <x:v>FURIFC-051</x:v>
      </x:c>
      <x:c r="C357" s="108" t="str">
        <x:v>INT1</x:v>
      </x:c>
      <x:c r="D357" s="108" t="str">
        <x:v>installation_role</x:v>
      </x:c>
      <x:c r="E357" s="108" t="str">
        <x:v>fixed_furniture</x:v>
      </x:c>
      <x:c r="F357" s="108" t="str"/>
      <x:c r="G357" s="108" t="str"/>
      <x:c r="H357" s="108" t="str"/>
      <x:c r="I357" s="108" t="str">
        <x:v>project_candidate</x:v>
      </x:c>
      <x:c r="J357" s="108" t="str">
        <x:v>confirmed</x:v>
      </x:c>
      <x:c r="K357" s="108" t="str">
        <x:v>FUR-ROLE-SRC-c54be9a54d2f</x:v>
      </x:c>
      <x:c r="L357" s="108" t="str"/>
      <x:c r="M357" s="108" t="str">
        <x:v>no</x:v>
      </x:c>
      <x:c r="N357" s="108" t="str">
        <x:v>类型与 KITCHEN 中 900×717×888 mm 几何共同识别为固定地柜 | confidence=0.99</x:v>
      </x:c>
    </x:row>
    <x:row r="358" ht="34" customHeight="1">
      <x:c r="A358" s="108" t="str">
        <x:v>REQ-0356</x:v>
      </x:c>
      <x:c r="B358" s="108" t="str">
        <x:v>FURIFC-058</x:v>
      </x:c>
      <x:c r="C358" s="108" t="str">
        <x:v>INT1</x:v>
      </x:c>
      <x:c r="D358" s="108" t="str">
        <x:v>installation_role</x:v>
      </x:c>
      <x:c r="E358" s="108" t="str">
        <x:v>fixed_furniture</x:v>
      </x:c>
      <x:c r="F358" s="108" t="str"/>
      <x:c r="G358" s="108" t="str"/>
      <x:c r="H358" s="108" t="str"/>
      <x:c r="I358" s="108" t="str">
        <x:v>project_candidate</x:v>
      </x:c>
      <x:c r="J358" s="108" t="str">
        <x:v>confirmed</x:v>
      </x:c>
      <x:c r="K358" s="108" t="str">
        <x:v>FUR-ROLE-SRC-ee3c462e0a75</x:v>
      </x:c>
      <x:c r="L358" s="108" t="str"/>
      <x:c r="M358" s="108" t="str">
        <x:v>no</x:v>
      </x:c>
      <x:c r="N358" s="108" t="str">
        <x:v>类型与 VVD 中 617×600×2383 mm 全高几何共同识别为固定高柜 | confidence=0.99</x:v>
      </x:c>
    </x:row>
    <x:row r="359" ht="34" customHeight="1">
      <x:c r="A359" s="108" t="str">
        <x:v>REQ-0357</x:v>
      </x:c>
      <x:c r="B359" s="108" t="str">
        <x:v>FURIFC-040</x:v>
      </x:c>
      <x:c r="C359" s="108" t="str">
        <x:v>INT1</x:v>
      </x:c>
      <x:c r="D359" s="108" t="str">
        <x:v>installation_role</x:v>
      </x:c>
      <x:c r="E359" s="108" t="str">
        <x:v>fixed_furniture</x:v>
      </x:c>
      <x:c r="F359" s="108" t="str"/>
      <x:c r="G359" s="108" t="str"/>
      <x:c r="H359" s="108" t="str"/>
      <x:c r="I359" s="108" t="str">
        <x:v>project_candidate</x:v>
      </x:c>
      <x:c r="J359" s="108" t="str">
        <x:v>confirmed</x:v>
      </x:c>
      <x:c r="K359" s="108" t="str">
        <x:v>FUR-ROLE-SRC-76c64e8de6b5</x:v>
      </x:c>
      <x:c r="L359" s="108" t="str"/>
      <x:c r="M359" s="108" t="str">
        <x:v>no</x:v>
      </x:c>
      <x:c r="N359" s="108" t="str">
        <x:v>类型与 VVD 中 600×19×587 mm 薄板几何共同识别为固定柜门板 | confidence=0.99</x:v>
      </x:c>
    </x:row>
    <x:row r="360" ht="34" customHeight="1">
      <x:c r="A360" s="108" t="str">
        <x:v>REQ-0358</x:v>
      </x:c>
      <x:c r="B360" s="108" t="str">
        <x:v>FURIFC-055</x:v>
      </x:c>
      <x:c r="C360" s="108" t="str">
        <x:v>INT1</x:v>
      </x:c>
      <x:c r="D360" s="108" t="str">
        <x:v>installation_role</x:v>
      </x:c>
      <x:c r="E360" s="108" t="str">
        <x:v>fixed_furniture</x:v>
      </x:c>
      <x:c r="F360" s="108" t="str"/>
      <x:c r="G360" s="108" t="str"/>
      <x:c r="H360" s="108" t="str"/>
      <x:c r="I360" s="108" t="str">
        <x:v>project_candidate</x:v>
      </x:c>
      <x:c r="J360" s="108" t="str">
        <x:v>confirmed</x:v>
      </x:c>
      <x:c r="K360" s="108" t="str">
        <x:v>FUR-ROLE-SRC-3bf990fecc5c</x:v>
      </x:c>
      <x:c r="L360" s="108" t="str"/>
      <x:c r="M360" s="108" t="str">
        <x:v>no</x:v>
      </x:c>
      <x:c r="N360" s="108" t="str">
        <x:v>类型、VVD 容器与 617×600×1523 mm 柜体包络共同证明安装位置受控 | confidence=0.99</x:v>
      </x:c>
    </x:row>
    <x:row r="361" ht="34" customHeight="1">
      <x:c r="A361" s="108" t="str">
        <x:v>REQ-0359</x:v>
      </x:c>
      <x:c r="B361" s="108" t="str">
        <x:v>FURIFC-056</x:v>
      </x:c>
      <x:c r="C361" s="108" t="str">
        <x:v>INT1</x:v>
      </x:c>
      <x:c r="D361" s="108" t="str">
        <x:v>installation_role</x:v>
      </x:c>
      <x:c r="E361" s="108" t="str">
        <x:v>fixed_furniture</x:v>
      </x:c>
      <x:c r="F361" s="108" t="str"/>
      <x:c r="G361" s="108" t="str"/>
      <x:c r="H361" s="108" t="str"/>
      <x:c r="I361" s="108" t="str">
        <x:v>project_candidate</x:v>
      </x:c>
      <x:c r="J361" s="108" t="str">
        <x:v>confirmed</x:v>
      </x:c>
      <x:c r="K361" s="108" t="str">
        <x:v>FUR-ROLE-SRC-285701a98ac5</x:v>
      </x:c>
      <x:c r="L361" s="108" t="str"/>
      <x:c r="M361" s="108" t="str">
        <x:v>no</x:v>
      </x:c>
      <x:c r="N361" s="108" t="str">
        <x:v>类型、VVD 容器与 617×600×860 mm 柜体包络共同证明安装位置受控 | confidence=0.99</x:v>
      </x:c>
    </x:row>
    <x:row r="362" ht="34" customHeight="1">
      <x:c r="A362" s="108" t="str">
        <x:v>REQ-0360</x:v>
      </x:c>
      <x:c r="B362" s="108" t="str">
        <x:v>FURIFC-012</x:v>
      </x:c>
      <x:c r="C362" s="108" t="str">
        <x:v>INT1</x:v>
      </x:c>
      <x:c r="D362" s="108" t="str">
        <x:v>installation_role</x:v>
      </x:c>
      <x:c r="E362" s="108" t="str">
        <x:v>fixed_furniture</x:v>
      </x:c>
      <x:c r="F362" s="108" t="str"/>
      <x:c r="G362" s="108" t="str"/>
      <x:c r="H362" s="108" t="str"/>
      <x:c r="I362" s="108" t="str">
        <x:v>project_candidate</x:v>
      </x:c>
      <x:c r="J362" s="108" t="str">
        <x:v>confirmed</x:v>
      </x:c>
      <x:c r="K362" s="108" t="str">
        <x:v>FUR-ROLE-SRC-0b252fa6a7af</x:v>
      </x:c>
      <x:c r="L362" s="108" t="str"/>
      <x:c r="M362" s="108" t="str">
        <x:v>no</x:v>
      </x:c>
      <x:c r="N362" s="108" t="str">
        <x:v>类型、VVD 容器与 617×600×1523 mm 柜体包络共同证明安装位置受控 | confidence=0.99</x:v>
      </x:c>
    </x:row>
    <x:row r="363" ht="34" customHeight="1">
      <x:c r="A363" s="108" t="str">
        <x:v>REQ-0361</x:v>
      </x:c>
      <x:c r="B363" s="108" t="str">
        <x:v>FURIFC-047</x:v>
      </x:c>
      <x:c r="C363" s="108" t="str">
        <x:v>INT1</x:v>
      </x:c>
      <x:c r="D363" s="108" t="str">
        <x:v>installation_role</x:v>
      </x:c>
      <x:c r="E363" s="108" t="str">
        <x:v>fixed_furniture</x:v>
      </x:c>
      <x:c r="F363" s="108" t="str"/>
      <x:c r="G363" s="108" t="str"/>
      <x:c r="H363" s="108" t="str"/>
      <x:c r="I363" s="108" t="str">
        <x:v>project_candidate</x:v>
      </x:c>
      <x:c r="J363" s="108" t="str">
        <x:v>confirmed</x:v>
      </x:c>
      <x:c r="K363" s="108" t="str">
        <x:v>FUR-ROLE-SRC-29655a725411</x:v>
      </x:c>
      <x:c r="L363" s="108" t="str"/>
      <x:c r="M363" s="108" t="str">
        <x:v>no</x:v>
      </x:c>
      <x:c r="N363" s="108" t="str">
        <x:v>类型、VVD 容器与 617×600×860 mm 柜体包络共同证明安装位置受控 | confidence=0.99</x:v>
      </x:c>
    </x:row>
    <x:row r="364" ht="34" customHeight="1">
      <x:c r="A364" s="108" t="str">
        <x:v>REQ-0362</x:v>
      </x:c>
      <x:c r="B364" s="108" t="str">
        <x:v>FURIFC-042</x:v>
      </x:c>
      <x:c r="C364" s="108" t="str">
        <x:v>INT1</x:v>
      </x:c>
      <x:c r="D364" s="108" t="str">
        <x:v>installation_role</x:v>
      </x:c>
      <x:c r="E364" s="108" t="str">
        <x:v>fixed_furniture</x:v>
      </x:c>
      <x:c r="F364" s="108" t="str"/>
      <x:c r="G364" s="108" t="str"/>
      <x:c r="H364" s="108" t="str"/>
      <x:c r="I364" s="108" t="str">
        <x:v>project_candidate</x:v>
      </x:c>
      <x:c r="J364" s="108" t="str">
        <x:v>confirmed</x:v>
      </x:c>
      <x:c r="K364" s="108" t="str">
        <x:v>FUR-ROLE-SRC-480b2e28aff0</x:v>
      </x:c>
      <x:c r="L364" s="108" t="str"/>
      <x:c r="M364" s="108" t="str">
        <x:v>no</x:v>
      </x:c>
      <x:c r="N364" s="108" t="str">
        <x:v>类型、NBW 容器与 670×30×2365 mm 全高薄板几何共同识别为固定板件 | confidence=0.99</x:v>
      </x:c>
    </x:row>
    <x:row r="365" ht="34" customHeight="1">
      <x:c r="A365" s="108" t="str">
        <x:v>REQ-0363</x:v>
      </x:c>
      <x:c r="B365" s="108" t="str">
        <x:v>FURIFC-044</x:v>
      </x:c>
      <x:c r="C365" s="108" t="str">
        <x:v>INT1</x:v>
      </x:c>
      <x:c r="D365" s="108" t="str">
        <x:v>installation_role</x:v>
      </x:c>
      <x:c r="E365" s="108" t="str">
        <x:v>fixed_furniture</x:v>
      </x:c>
      <x:c r="F365" s="108" t="str"/>
      <x:c r="G365" s="108" t="str"/>
      <x:c r="H365" s="108" t="str"/>
      <x:c r="I365" s="108" t="str">
        <x:v>project_candidate</x:v>
      </x:c>
      <x:c r="J365" s="108" t="str">
        <x:v>confirmed</x:v>
      </x:c>
      <x:c r="K365" s="108" t="str">
        <x:v>FUR-ROLE-SRC-81479cf0c9fe</x:v>
      </x:c>
      <x:c r="L365" s="108" t="str"/>
      <x:c r="M365" s="108" t="str">
        <x:v>no</x:v>
      </x:c>
      <x:c r="N365" s="108" t="str">
        <x:v>类型、NBW 容器与 520×100×2400 mm 全高几何共同识别为固定板件 | confidence=0.99</x:v>
      </x:c>
    </x:row>
    <x:row r="366" ht="34" customHeight="1">
      <x:c r="A366" s="108" t="str">
        <x:v>REQ-0364</x:v>
      </x:c>
      <x:c r="B366" s="108" t="str">
        <x:v>FURIFC-054</x:v>
      </x:c>
      <x:c r="C366" s="108" t="str">
        <x:v>INT1</x:v>
      </x:c>
      <x:c r="D366" s="108" t="str">
        <x:v>installation_role</x:v>
      </x:c>
      <x:c r="E366" s="108" t="str">
        <x:v>fixed_furniture</x:v>
      </x:c>
      <x:c r="F366" s="108" t="str"/>
      <x:c r="G366" s="108" t="str"/>
      <x:c r="H366" s="108" t="str"/>
      <x:c r="I366" s="108" t="str">
        <x:v>project_candidate</x:v>
      </x:c>
      <x:c r="J366" s="108" t="str">
        <x:v>confirmed</x:v>
      </x:c>
      <x:c r="K366" s="108" t="str">
        <x:v>FUR-ROLE-SRC-4a1237247c6a</x:v>
      </x:c>
      <x:c r="L366" s="108" t="str"/>
      <x:c r="M366" s="108" t="str">
        <x:v>no</x:v>
      </x:c>
      <x:c r="N366" s="108" t="str">
        <x:v>用户确认 H08 为柜子把手并固定安装 | confidence=1.00</x:v>
      </x:c>
    </x:row>
    <x:row r="367" ht="34" customHeight="1">
      <x:c r="A367" s="108" t="str">
        <x:v>REQ-0365</x:v>
      </x:c>
      <x:c r="B367" s="108" t="str">
        <x:v>FURIFC-064</x:v>
      </x:c>
      <x:c r="C367" s="108" t="str">
        <x:v>INT1</x:v>
      </x:c>
      <x:c r="D367" s="108" t="str">
        <x:v>installation_role</x:v>
      </x:c>
      <x:c r="E367" s="108" t="str">
        <x:v>fixed_furniture</x:v>
      </x:c>
      <x:c r="F367" s="108" t="str"/>
      <x:c r="G367" s="108" t="str"/>
      <x:c r="H367" s="108" t="str"/>
      <x:c r="I367" s="108" t="str">
        <x:v>project_candidate</x:v>
      </x:c>
      <x:c r="J367" s="108" t="str">
        <x:v>confirmed</x:v>
      </x:c>
      <x:c r="K367" s="108" t="str">
        <x:v>FUR-ROLE-SRC-5d81a30c45ba</x:v>
      </x:c>
      <x:c r="L367" s="108" t="str"/>
      <x:c r="M367" s="108" t="str">
        <x:v>no</x:v>
      </x:c>
      <x:c r="N367" s="108" t="str">
        <x:v>与已确认 H08 同系列且具有相同 55×48×2323 mm 柜门把手几何 | confidence=0.99</x:v>
      </x:c>
    </x:row>
    <x:row r="368" ht="34" customHeight="1">
      <x:c r="A368" s="108" t="str">
        <x:v>REQ-0366</x:v>
      </x:c>
      <x:c r="B368" s="108" t="str">
        <x:v>FURIFC-029</x:v>
      </x:c>
      <x:c r="C368" s="108" t="str">
        <x:v>INT1</x:v>
      </x:c>
      <x:c r="D368" s="108" t="str">
        <x:v>installation_role</x:v>
      </x:c>
      <x:c r="E368" s="108" t="str">
        <x:v>fixed_furniture</x:v>
      </x:c>
      <x:c r="F368" s="108" t="str"/>
      <x:c r="G368" s="108" t="str"/>
      <x:c r="H368" s="108" t="str"/>
      <x:c r="I368" s="108" t="str">
        <x:v>project_candidate</x:v>
      </x:c>
      <x:c r="J368" s="108" t="str">
        <x:v>confirmed</x:v>
      </x:c>
      <x:c r="K368" s="108" t="str">
        <x:v>FUR-ROLE-SRC-710779d5e112</x:v>
      </x:c>
      <x:c r="L368" s="108" t="str"/>
      <x:c r="M368" s="108" t="str">
        <x:v>no</x:v>
      </x:c>
      <x:c r="N368" s="108" t="str">
        <x:v>类型、KITCHEN 容器与 47×47×50 mm 五金几何共同识别为固定柜体五金 | confidence=0.99</x:v>
      </x:c>
    </x:row>
    <x:row r="369" ht="34" customHeight="1">
      <x:c r="A369" s="108" t="str">
        <x:v>REQ-0367</x:v>
      </x:c>
      <x:c r="B369" s="108" t="str">
        <x:v>FURIFC-010</x:v>
      </x:c>
      <x:c r="C369" s="108" t="str">
        <x:v>INT1</x:v>
      </x:c>
      <x:c r="D369" s="108" t="str">
        <x:v>installation_role</x:v>
      </x:c>
      <x:c r="E369" s="108" t="str">
        <x:v>fixed_furniture</x:v>
      </x:c>
      <x:c r="F369" s="108" t="str"/>
      <x:c r="G369" s="108" t="str"/>
      <x:c r="H369" s="108" t="str"/>
      <x:c r="I369" s="108" t="str">
        <x:v>project_candidate</x:v>
      </x:c>
      <x:c r="J369" s="108" t="str">
        <x:v>confirmed</x:v>
      </x:c>
      <x:c r="K369" s="108" t="str">
        <x:v>FUR-ROLE-SRC-44dc573a968b</x:v>
      </x:c>
      <x:c r="L369" s="108" t="str"/>
      <x:c r="M369" s="108" t="str">
        <x:v>no</x:v>
      </x:c>
      <x:c r="N369" s="108" t="str">
        <x:v>类型、KITCHEN 容器与 78×80×50 mm 五金几何共同识别为固定柜体五金 | confidence=0.99</x:v>
      </x:c>
    </x:row>
    <x:row r="370" ht="34" customHeight="1">
      <x:c r="A370" s="108" t="str">
        <x:v>REQ-0368</x:v>
      </x:c>
      <x:c r="B370" s="108" t="str">
        <x:v>FURIFC-008</x:v>
      </x:c>
      <x:c r="C370" s="108" t="str">
        <x:v>INT1</x:v>
      </x:c>
      <x:c r="D370" s="108" t="str">
        <x:v>installation_role</x:v>
      </x:c>
      <x:c r="E370" s="108" t="str">
        <x:v>fixed_furniture</x:v>
      </x:c>
      <x:c r="F370" s="108" t="str"/>
      <x:c r="G370" s="108" t="str"/>
      <x:c r="H370" s="108" t="str"/>
      <x:c r="I370" s="108" t="str">
        <x:v>project_candidate</x:v>
      </x:c>
      <x:c r="J370" s="108" t="str">
        <x:v>confirmed</x:v>
      </x:c>
      <x:c r="K370" s="108" t="str">
        <x:v>FUR-ROLE-SRC-1e42d0dee4f3</x:v>
      </x:c>
      <x:c r="L370" s="108" t="str"/>
      <x:c r="M370" s="108" t="str">
        <x:v>no</x:v>
      </x:c>
      <x:c r="N370" s="108" t="str">
        <x:v>类型、KITCHEN 容器与 1200×47×50 mm 条状几何共同识别为固定柜体五金 | confidence=0.99</x:v>
      </x:c>
    </x:row>
    <x:row r="371" ht="34" customHeight="1">
      <x:c r="A371" s="108" t="str">
        <x:v>REQ-0369</x:v>
      </x:c>
      <x:c r="B371" s="108" t="str">
        <x:v>FURIFC-046</x:v>
      </x:c>
      <x:c r="C371" s="108" t="str">
        <x:v>INT1</x:v>
      </x:c>
      <x:c r="D371" s="108" t="str">
        <x:v>installation_role</x:v>
      </x:c>
      <x:c r="E371" s="108" t="str">
        <x:v>fixed_furniture</x:v>
      </x:c>
      <x:c r="F371" s="108" t="str"/>
      <x:c r="G371" s="108" t="str"/>
      <x:c r="H371" s="108" t="str"/>
      <x:c r="I371" s="108" t="str">
        <x:v>project_candidate</x:v>
      </x:c>
      <x:c r="J371" s="108" t="str">
        <x:v>confirmed</x:v>
      </x:c>
      <x:c r="K371" s="108" t="str">
        <x:v>FUR-ROLE-SRC-f6a7a110e14f</x:v>
      </x:c>
      <x:c r="L371" s="108" t="str"/>
      <x:c r="M371" s="108" t="str">
        <x:v>no</x:v>
      </x:c>
      <x:c r="N371" s="108" t="str">
        <x:v>类型、KITCHEN 容器与 450×47×50 mm 条状几何共同识别为固定柜体五金 | confidence=0.99</x:v>
      </x:c>
    </x:row>
    <x:row r="372" ht="34" customHeight="1">
      <x:c r="A372" s="108" t="str">
        <x:v>REQ-0370</x:v>
      </x:c>
      <x:c r="B372" s="108" t="str">
        <x:v>FURIFC-009</x:v>
      </x:c>
      <x:c r="C372" s="108" t="str">
        <x:v>INT1</x:v>
      </x:c>
      <x:c r="D372" s="108" t="str">
        <x:v>installation_role</x:v>
      </x:c>
      <x:c r="E372" s="108" t="str">
        <x:v>fixed_furniture</x:v>
      </x:c>
      <x:c r="F372" s="108" t="str"/>
      <x:c r="G372" s="108" t="str"/>
      <x:c r="H372" s="108" t="str"/>
      <x:c r="I372" s="108" t="str">
        <x:v>project_candidate</x:v>
      </x:c>
      <x:c r="J372" s="108" t="str">
        <x:v>confirmed</x:v>
      </x:c>
      <x:c r="K372" s="108" t="str">
        <x:v>FUR-ROLE-SRC-2adec8773b7b</x:v>
      </x:c>
      <x:c r="L372" s="108" t="str"/>
      <x:c r="M372" s="108" t="str">
        <x:v>no</x:v>
      </x:c>
      <x:c r="N372" s="108" t="str">
        <x:v>类型、KITCHEN 容器与 600×47×50 mm 条状几何共同识别为固定柜体五金 | confidence=0.99</x:v>
      </x:c>
    </x:row>
    <x:row r="373" ht="34" customHeight="1">
      <x:c r="A373" s="108" t="str">
        <x:v>REQ-0371</x:v>
      </x:c>
      <x:c r="B373" s="108" t="str">
        <x:v>FURIFC-037</x:v>
      </x:c>
      <x:c r="C373" s="108" t="str">
        <x:v>INT1</x:v>
      </x:c>
      <x:c r="D373" s="108" t="str">
        <x:v>installation_role</x:v>
      </x:c>
      <x:c r="E373" s="108" t="str">
        <x:v>fixed_furniture</x:v>
      </x:c>
      <x:c r="F373" s="108" t="str"/>
      <x:c r="G373" s="108" t="str"/>
      <x:c r="H373" s="108" t="str"/>
      <x:c r="I373" s="108" t="str">
        <x:v>project_candidate</x:v>
      </x:c>
      <x:c r="J373" s="108" t="str">
        <x:v>confirmed</x:v>
      </x:c>
      <x:c r="K373" s="108" t="str">
        <x:v>FUR-ROLE-SRC-2d622a9790d3</x:v>
      </x:c>
      <x:c r="L373" s="108" t="str"/>
      <x:c r="M373" s="108" t="str">
        <x:v>no</x:v>
      </x:c>
      <x:c r="N373" s="108" t="str">
        <x:v>类型、KITCHEN 容器与 900×47×50 mm 条状几何共同识别为固定柜体五金 | confidence=0.99</x:v>
      </x:c>
    </x:row>
    <x:row r="374" ht="34" customHeight="1">
      <x:c r="A374" s="108" t="str">
        <x:v>REQ-0372</x:v>
      </x:c>
      <x:c r="B374" s="108" t="str">
        <x:v>FURIFC-014</x:v>
      </x:c>
      <x:c r="C374" s="108" t="str">
        <x:v>INT1</x:v>
      </x:c>
      <x:c r="D374" s="108" t="str">
        <x:v>installation_role</x:v>
      </x:c>
      <x:c r="E374" s="108" t="str">
        <x:v>fixed_furniture</x:v>
      </x:c>
      <x:c r="F374" s="108" t="str"/>
      <x:c r="G374" s="108" t="str"/>
      <x:c r="H374" s="108" t="str"/>
      <x:c r="I374" s="108" t="str">
        <x:v>project_candidate</x:v>
      </x:c>
      <x:c r="J374" s="108" t="str">
        <x:v>confirmed</x:v>
      </x:c>
      <x:c r="K374" s="108" t="str">
        <x:v>FUR-ROLE-SRC-da2263c37835</x:v>
      </x:c>
      <x:c r="L374" s="108" t="str"/>
      <x:c r="M374" s="108" t="str">
        <x:v>no</x:v>
      </x:c>
      <x:c r="N374" s="108" t="str">
        <x:v>类型、BATHM 容器与 826×1685×999 mm 几何共同识别为主卫固定柜体 | confidence=0.99</x:v>
      </x:c>
    </x:row>
    <x:row r="375" ht="34" customHeight="1">
      <x:c r="A375" s="108" t="str">
        <x:v>REQ-0373</x:v>
      </x:c>
      <x:c r="B375" s="108" t="str">
        <x:v>FURIFC-060</x:v>
      </x:c>
      <x:c r="C375" s="108" t="str">
        <x:v>INT1</x:v>
      </x:c>
      <x:c r="D375" s="108" t="str">
        <x:v>installation_role</x:v>
      </x:c>
      <x:c r="E375" s="108" t="str">
        <x:v>fixed_furniture</x:v>
      </x:c>
      <x:c r="F375" s="108" t="str"/>
      <x:c r="G375" s="108" t="str"/>
      <x:c r="H375" s="108" t="str"/>
      <x:c r="I375" s="108" t="str">
        <x:v>project_candidate</x:v>
      </x:c>
      <x:c r="J375" s="108" t="str">
        <x:v>confirmed</x:v>
      </x:c>
      <x:c r="K375" s="108" t="str">
        <x:v>FUR-ROLE-SRC-8dfd30236337</x:v>
      </x:c>
      <x:c r="L375" s="108" t="str"/>
      <x:c r="M375" s="108" t="str">
        <x:v>no</x:v>
      </x:c>
      <x:c r="N375" s="108" t="str">
        <x:v>类型、VVD 容器与 53×30×2323 mm 全高条状几何共同识别为固定柜体五金 | confidence=0.99</x:v>
      </x:c>
    </x:row>
    <x:row r="376" ht="34" customHeight="1">
      <x:c r="A376" s="108" t="str">
        <x:v>REQ-0374</x:v>
      </x:c>
      <x:c r="B376" s="108" t="str">
        <x:v>FURIFC-063</x:v>
      </x:c>
      <x:c r="C376" s="108" t="str">
        <x:v>INT1</x:v>
      </x:c>
      <x:c r="D376" s="108" t="str">
        <x:v>installation_role</x:v>
      </x:c>
      <x:c r="E376" s="108" t="str">
        <x:v>fixed_furniture</x:v>
      </x:c>
      <x:c r="F376" s="108" t="str"/>
      <x:c r="G376" s="108" t="str"/>
      <x:c r="H376" s="108" t="str"/>
      <x:c r="I376" s="108" t="str">
        <x:v>project_candidate</x:v>
      </x:c>
      <x:c r="J376" s="108" t="str">
        <x:v>confirmed</x:v>
      </x:c>
      <x:c r="K376" s="108" t="str">
        <x:v>FUR-ROLE-SRC-033ca04bbd17</x:v>
      </x:c>
      <x:c r="L376" s="108" t="str"/>
      <x:c r="M376" s="108" t="str">
        <x:v>no</x:v>
      </x:c>
      <x:c r="N376" s="108" t="str">
        <x:v>类型、VVD 容器与 55×360×2323 mm 全高几何共同识别为固定柜体部件 | confidence=0.99</x:v>
      </x:c>
    </x:row>
    <x:row r="377" ht="34" customHeight="1">
      <x:c r="A377" s="108" t="str">
        <x:v>REQ-0375</x:v>
      </x:c>
      <x:c r="B377" s="108" t="str">
        <x:v>FURIFC-027</x:v>
      </x:c>
      <x:c r="C377" s="108" t="str">
        <x:v>INT1</x:v>
      </x:c>
      <x:c r="D377" s="108" t="str">
        <x:v>installation_role</x:v>
      </x:c>
      <x:c r="E377" s="108" t="str">
        <x:v>fixed_furniture</x:v>
      </x:c>
      <x:c r="F377" s="108" t="str"/>
      <x:c r="G377" s="108" t="str"/>
      <x:c r="H377" s="108" t="str"/>
      <x:c r="I377" s="108" t="str">
        <x:v>project_candidate</x:v>
      </x:c>
      <x:c r="J377" s="108" t="str">
        <x:v>confirmed</x:v>
      </x:c>
      <x:c r="K377" s="108" t="str">
        <x:v>FUR-ROLE-SRC-93cc989216af</x:v>
      </x:c>
      <x:c r="L377" s="108" t="str"/>
      <x:c r="M377" s="108" t="str">
        <x:v>no</x:v>
      </x:c>
      <x:c r="N377" s="108" t="str">
        <x:v>IfcFurnitureType.SHELF、KITCHEN 容器与 1342×337×2400 mm 全高层架几何共同证明固定安装 | confidence=0.99</x:v>
      </x:c>
    </x:row>
    <x:row r="378" ht="34" customHeight="1">
      <x:c r="A378" s="108" t="str">
        <x:v>REQ-0376</x:v>
      </x:c>
      <x:c r="B378" s="108" t="str">
        <x:v>FURIFC-007</x:v>
      </x:c>
      <x:c r="C378" s="108" t="str">
        <x:v>INT1</x:v>
      </x:c>
      <x:c r="D378" s="108" t="str">
        <x:v>installation_role</x:v>
      </x:c>
      <x:c r="E378" s="108" t="str">
        <x:v>fixed_furniture</x:v>
      </x:c>
      <x:c r="F378" s="108" t="str"/>
      <x:c r="G378" s="108" t="str"/>
      <x:c r="H378" s="108" t="str"/>
      <x:c r="I378" s="108" t="str">
        <x:v>project_candidate</x:v>
      </x:c>
      <x:c r="J378" s="108" t="str">
        <x:v>confirmed</x:v>
      </x:c>
      <x:c r="K378" s="108" t="str">
        <x:v>FUR-ROLE-SRC-d65509fd42c3</x:v>
      </x:c>
      <x:c r="L378" s="108" t="str"/>
      <x:c r="M378" s="108" t="str">
        <x:v>no</x:v>
      </x:c>
      <x:c r="N378" s="108" t="str">
        <x:v>类型、VVD 容器与 617×300×2383 mm 全高几何共同识别为固定柜体板件 | confidence=0.99</x:v>
      </x:c>
    </x:row>
    <x:row r="379" ht="34" customHeight="1">
      <x:c r="A379" s="108" t="str">
        <x:v>REQ-0377</x:v>
      </x:c>
      <x:c r="B379" s="108" t="str">
        <x:v>FURIFC-023</x:v>
      </x:c>
      <x:c r="C379" s="108" t="str">
        <x:v>INT1</x:v>
      </x:c>
      <x:c r="D379" s="108" t="str">
        <x:v>installation_role</x:v>
      </x:c>
      <x:c r="E379" s="108" t="str">
        <x:v>fixed_furniture</x:v>
      </x:c>
      <x:c r="F379" s="108" t="str"/>
      <x:c r="G379" s="108" t="str"/>
      <x:c r="H379" s="108" t="str"/>
      <x:c r="I379" s="108" t="str">
        <x:v>project_candidate</x:v>
      </x:c>
      <x:c r="J379" s="108" t="str">
        <x:v>confirmed</x:v>
      </x:c>
      <x:c r="K379" s="108" t="str">
        <x:v>FUR-ROLE-SRC-f6d5349c02e3</x:v>
      </x:c>
      <x:c r="L379" s="108" t="str"/>
      <x:c r="M379" s="108" t="str">
        <x:v>no</x:v>
      </x:c>
      <x:c r="N379" s="108" t="str">
        <x:v>类型、VVD 容器与 1200×300×179 mm 几何共同识别为固定柜体内部单元 | confidence=0.99</x:v>
      </x:c>
    </x:row>
    <x:row r="380" ht="34" customHeight="1">
      <x:c r="A380" s="108" t="str">
        <x:v>REQ-0378</x:v>
      </x:c>
      <x:c r="B380" s="108" t="str">
        <x:v>FURIFC-026</x:v>
      </x:c>
      <x:c r="C380" s="108" t="str">
        <x:v>INT1</x:v>
      </x:c>
      <x:c r="D380" s="108" t="str">
        <x:v>installation_role</x:v>
      </x:c>
      <x:c r="E380" s="108" t="str">
        <x:v>fixed_furniture</x:v>
      </x:c>
      <x:c r="F380" s="108" t="str"/>
      <x:c r="G380" s="108" t="str"/>
      <x:c r="H380" s="108" t="str"/>
      <x:c r="I380" s="108" t="str">
        <x:v>project_candidate</x:v>
      </x:c>
      <x:c r="J380" s="108" t="str">
        <x:v>confirmed</x:v>
      </x:c>
      <x:c r="K380" s="108" t="str">
        <x:v>FUR-ROLE-SRC-b9971d78f419</x:v>
      </x:c>
      <x:c r="L380" s="108" t="str"/>
      <x:c r="M380" s="108" t="str">
        <x:v>no</x:v>
      </x:c>
      <x:c r="N380" s="108" t="str">
        <x:v>类型、VVD 容器与 600×300×179 mm 几何共同识别为固定柜体内部单元 | confidence=0.99</x:v>
      </x:c>
    </x:row>
    <x:row r="381" ht="34" customHeight="1">
      <x:c r="A381" s="108" t="str">
        <x:v>REQ-0379</x:v>
      </x:c>
      <x:c r="B381" s="108" t="str">
        <x:v>FURIFC-045</x:v>
      </x:c>
      <x:c r="C381" s="108" t="str">
        <x:v>INT1</x:v>
      </x:c>
      <x:c r="D381" s="108" t="str">
        <x:v>installation_role</x:v>
      </x:c>
      <x:c r="E381" s="108" t="str">
        <x:v>fixed_furniture</x:v>
      </x:c>
      <x:c r="F381" s="108" t="str"/>
      <x:c r="G381" s="108" t="str"/>
      <x:c r="H381" s="108" t="str"/>
      <x:c r="I381" s="108" t="str">
        <x:v>project_candidate</x:v>
      </x:c>
      <x:c r="J381" s="108" t="str">
        <x:v>confirmed</x:v>
      </x:c>
      <x:c r="K381" s="108" t="str">
        <x:v>FUR-ROLE-SRC-b69eaad9f039</x:v>
      </x:c>
      <x:c r="L381" s="108" t="str"/>
      <x:c r="M381" s="108" t="str">
        <x:v>no</x:v>
      </x:c>
      <x:c r="N381" s="108" t="str">
        <x:v>类型、VVD 容器与 16 mm 薄板几何共同识别为固定柜体侧板 | confidence=0.99</x:v>
      </x:c>
    </x:row>
    <x:row r="382" ht="34" customHeight="1">
      <x:c r="A382" s="108" t="str">
        <x:v>REQ-0380</x:v>
      </x:c>
      <x:c r="B382" s="108" t="str">
        <x:v>FURIFC-052</x:v>
      </x:c>
      <x:c r="C382" s="108" t="str">
        <x:v>INT1</x:v>
      </x:c>
      <x:c r="D382" s="108" t="str">
        <x:v>installation_role</x:v>
      </x:c>
      <x:c r="E382" s="108" t="str">
        <x:v>fixed_furniture</x:v>
      </x:c>
      <x:c r="F382" s="108" t="str"/>
      <x:c r="G382" s="108" t="str"/>
      <x:c r="H382" s="108" t="str"/>
      <x:c r="I382" s="108" t="str">
        <x:v>project_candidate</x:v>
      </x:c>
      <x:c r="J382" s="108" t="str">
        <x:v>confirmed</x:v>
      </x:c>
      <x:c r="K382" s="108" t="str">
        <x:v>FUR-ROLE-SRC-6a08a071fa9e</x:v>
      </x:c>
      <x:c r="L382" s="108" t="str"/>
      <x:c r="M382" s="108" t="str">
        <x:v>no</x:v>
      </x:c>
      <x:c r="N382" s="108" t="str">
        <x:v>类型、VVD 容器与 16 mm 薄板几何共同识别为固定柜体侧板 | confidence=0.99</x:v>
      </x:c>
    </x:row>
    <x:row r="383" ht="34" customHeight="1">
      <x:c r="A383" s="108" t="str">
        <x:v>REQ-0381</x:v>
      </x:c>
      <x:c r="B383" s="108" t="str">
        <x:v>FURIFC-032</x:v>
      </x:c>
      <x:c r="C383" s="108" t="str">
        <x:v>INT1</x:v>
      </x:c>
      <x:c r="D383" s="108" t="str">
        <x:v>installation_role</x:v>
      </x:c>
      <x:c r="E383" s="108" t="str">
        <x:v>fixed_furniture</x:v>
      </x:c>
      <x:c r="F383" s="108" t="str"/>
      <x:c r="G383" s="108" t="str"/>
      <x:c r="H383" s="108" t="str"/>
      <x:c r="I383" s="108" t="str">
        <x:v>project_candidate</x:v>
      </x:c>
      <x:c r="J383" s="108" t="str">
        <x:v>confirmed</x:v>
      </x:c>
      <x:c r="K383" s="108" t="str">
        <x:v>FUR-ROLE-SRC-6deab3f093e7</x:v>
      </x:c>
      <x:c r="L383" s="108" t="str"/>
      <x:c r="M383" s="108" t="str">
        <x:v>no</x:v>
      </x:c>
      <x:c r="N383" s="108" t="str">
        <x:v>用户确认 SB03 为柜子侧板并固定安装 | confidence=1.00</x:v>
      </x:c>
    </x:row>
    <x:row r="384" ht="34" customHeight="1">
      <x:c r="A384" s="108" t="str">
        <x:v>REQ-0382</x:v>
      </x:c>
      <x:c r="B384" s="108" t="str">
        <x:v>FURIFC-061</x:v>
      </x:c>
      <x:c r="C384" s="108" t="str">
        <x:v>INT1</x:v>
      </x:c>
      <x:c r="D384" s="108" t="str">
        <x:v>installation_role</x:v>
      </x:c>
      <x:c r="E384" s="108" t="str">
        <x:v>fixed_furniture</x:v>
      </x:c>
      <x:c r="F384" s="108" t="str"/>
      <x:c r="G384" s="108" t="str"/>
      <x:c r="H384" s="108" t="str"/>
      <x:c r="I384" s="108" t="str">
        <x:v>project_candidate</x:v>
      </x:c>
      <x:c r="J384" s="108" t="str">
        <x:v>confirmed</x:v>
      </x:c>
      <x:c r="K384" s="108" t="str">
        <x:v>FUR-ROLE-SRC-d440237eebf7</x:v>
      </x:c>
      <x:c r="L384" s="108" t="str"/>
      <x:c r="M384" s="108" t="str">
        <x:v>no</x:v>
      </x:c>
      <x:c r="N384" s="108" t="str">
        <x:v>IfcFurnitureType.SHELF、LIVING 容器与 203×839×2146 mm 全高层架几何共同证明固定安装 | confidence=0.99</x:v>
      </x:c>
    </x:row>
    <x:row r="385" ht="34" customHeight="1">
      <x:c r="A385" s="108" t="str">
        <x:v>REQ-0383</x:v>
      </x:c>
      <x:c r="B385" s="108" t="str">
        <x:v>FURIFC-050</x:v>
      </x:c>
      <x:c r="C385" s="108" t="str">
        <x:v>INT1</x:v>
      </x:c>
      <x:c r="D385" s="108" t="str">
        <x:v>installation_role</x:v>
      </x:c>
      <x:c r="E385" s="108" t="str">
        <x:v>fixed_furniture</x:v>
      </x:c>
      <x:c r="F385" s="108" t="str"/>
      <x:c r="G385" s="108" t="str"/>
      <x:c r="H385" s="108" t="str"/>
      <x:c r="I385" s="108" t="str">
        <x:v>project_candidate</x:v>
      </x:c>
      <x:c r="J385" s="108" t="str">
        <x:v>confirmed</x:v>
      </x:c>
      <x:c r="K385" s="108" t="str">
        <x:v>FUR-ROLE-SRC-303704981d05</x:v>
      </x:c>
      <x:c r="L385" s="108" t="str"/>
      <x:c r="M385" s="108" t="str">
        <x:v>no</x:v>
      </x:c>
      <x:c r="N385" s="108" t="str">
        <x:v>类型、KITCHEN 容器与 369×1962×722 mm 高位柜体几何共同证明固定安装 | confidence=0.99</x:v>
      </x:c>
    </x:row>
    <x:row r="386" ht="34" customHeight="1">
      <x:c r="A386" s="108" t="str">
        <x:v>REQ-0384</x:v>
      </x:c>
      <x:c r="B386" s="108" t="str">
        <x:v>FURIFC-021</x:v>
      </x:c>
      <x:c r="C386" s="108" t="str">
        <x:v>INT1</x:v>
      </x:c>
      <x:c r="D386" s="108" t="str">
        <x:v>installation_role</x:v>
      </x:c>
      <x:c r="E386" s="108" t="str">
        <x:v>fixed_furniture</x:v>
      </x:c>
      <x:c r="F386" s="108" t="str"/>
      <x:c r="G386" s="108" t="str"/>
      <x:c r="H386" s="108" t="str"/>
      <x:c r="I386" s="108" t="str">
        <x:v>project_candidate</x:v>
      </x:c>
      <x:c r="J386" s="108" t="str">
        <x:v>confirmed</x:v>
      </x:c>
      <x:c r="K386" s="108" t="str">
        <x:v>FUR-ROLE-SRC-14ae5ab8677c</x:v>
      </x:c>
      <x:c r="L386" s="108" t="str"/>
      <x:c r="M386" s="108" t="str">
        <x:v>no</x:v>
      </x:c>
      <x:c r="N386" s="108" t="str">
        <x:v>用户确认 SKI03 为柜子踢脚板并固定安装 | confidence=1.00</x:v>
      </x:c>
    </x:row>
    <x:row r="387" ht="34" customHeight="1">
      <x:c r="A387" s="108" t="str">
        <x:v>REQ-0385</x:v>
      </x:c>
      <x:c r="B387" s="108" t="str">
        <x:v>FURIFC-018</x:v>
      </x:c>
      <x:c r="C387" s="108" t="str">
        <x:v>INT1</x:v>
      </x:c>
      <x:c r="D387" s="108" t="str">
        <x:v>installation_role</x:v>
      </x:c>
      <x:c r="E387" s="108" t="str">
        <x:v>fixed_furniture</x:v>
      </x:c>
      <x:c r="F387" s="108" t="str"/>
      <x:c r="G387" s="108" t="str"/>
      <x:c r="H387" s="108" t="str"/>
      <x:c r="I387" s="108" t="str">
        <x:v>project_candidate</x:v>
      </x:c>
      <x:c r="J387" s="108" t="str">
        <x:v>confirmed</x:v>
      </x:c>
      <x:c r="K387" s="108" t="str">
        <x:v>FUR-ROLE-SRC-90aa3e70bc89</x:v>
      </x:c>
      <x:c r="L387" s="108" t="str"/>
      <x:c r="M387" s="108" t="str">
        <x:v>no</x:v>
      </x:c>
      <x:c r="N387" s="108" t="str">
        <x:v>与已确认 SKI03 同系列且具有 2400×16×60 mm 踢脚板几何 | confidence=0.99</x:v>
      </x:c>
    </x:row>
    <x:row r="388" ht="34" customHeight="1">
      <x:c r="A388" s="108" t="str">
        <x:v>REQ-0386</x:v>
      </x:c>
      <x:c r="B388" s="108" t="str">
        <x:v>FURIFC-043</x:v>
      </x:c>
      <x:c r="C388" s="108" t="str">
        <x:v>INT1</x:v>
      </x:c>
      <x:c r="D388" s="108" t="str">
        <x:v>installation_role</x:v>
      </x:c>
      <x:c r="E388" s="108" t="str">
        <x:v>fixed_furniture</x:v>
      </x:c>
      <x:c r="F388" s="108" t="str"/>
      <x:c r="G388" s="108" t="str"/>
      <x:c r="H388" s="108" t="str"/>
      <x:c r="I388" s="108" t="str">
        <x:v>project_candidate</x:v>
      </x:c>
      <x:c r="J388" s="108" t="str">
        <x:v>confirmed</x:v>
      </x:c>
      <x:c r="K388" s="108" t="str">
        <x:v>FUR-ROLE-SRC-81e2a3340e3c</x:v>
      </x:c>
      <x:c r="L388" s="108" t="str"/>
      <x:c r="M388" s="108" t="str">
        <x:v>no</x:v>
      </x:c>
      <x:c r="N388" s="108" t="str">
        <x:v>类型、KITCHEN 容器与 1100×750×60 mm 薄板几何共同识别为固定柜体板件 | confidence=0.99</x:v>
      </x:c>
    </x:row>
    <x:row r="389" ht="34" customHeight="1">
      <x:c r="A389" s="108" t="str">
        <x:v>REQ-0387</x:v>
      </x:c>
      <x:c r="B389" s="108" t="str">
        <x:v>FURIFC-019</x:v>
      </x:c>
      <x:c r="C389" s="108" t="str">
        <x:v>INT1</x:v>
      </x:c>
      <x:c r="D389" s="108" t="str">
        <x:v>installation_role</x:v>
      </x:c>
      <x:c r="E389" s="108" t="str">
        <x:v>fixed_furniture</x:v>
      </x:c>
      <x:c r="F389" s="108" t="str"/>
      <x:c r="G389" s="108" t="str"/>
      <x:c r="H389" s="108" t="str"/>
      <x:c r="I389" s="108" t="str">
        <x:v>project_candidate</x:v>
      </x:c>
      <x:c r="J389" s="108" t="str">
        <x:v>confirmed</x:v>
      </x:c>
      <x:c r="K389" s="108" t="str">
        <x:v>FUR-ROLE-SRC-f38485b1b36b</x:v>
      </x:c>
      <x:c r="L389" s="108" t="str"/>
      <x:c r="M389" s="108" t="str">
        <x:v>no</x:v>
      </x:c>
      <x:c r="N389" s="108" t="str">
        <x:v>类型、BEDM 容器与 674×1203×2390 mm 全高几何共同识别为固定衣柜单元 | confidence=0.99</x:v>
      </x:c>
    </x:row>
    <x:row r="390" ht="34" customHeight="1">
      <x:c r="A390" s="108" t="str">
        <x:v>REQ-0388</x:v>
      </x:c>
      <x:c r="B390" s="108" t="str">
        <x:v>FURIFC-036</x:v>
      </x:c>
      <x:c r="C390" s="108" t="str">
        <x:v>INT1</x:v>
      </x:c>
      <x:c r="D390" s="108" t="str">
        <x:v>installation_role</x:v>
      </x:c>
      <x:c r="E390" s="108" t="str">
        <x:v>fixed_furniture</x:v>
      </x:c>
      <x:c r="F390" s="108" t="str"/>
      <x:c r="G390" s="108" t="str"/>
      <x:c r="H390" s="108" t="str"/>
      <x:c r="I390" s="108" t="str">
        <x:v>project_candidate</x:v>
      </x:c>
      <x:c r="J390" s="108" t="str">
        <x:v>confirmed</x:v>
      </x:c>
      <x:c r="K390" s="108" t="str">
        <x:v>FUR-ROLE-SRC-aea62f5752cb</x:v>
      </x:c>
      <x:c r="L390" s="108" t="str"/>
      <x:c r="M390" s="108" t="str">
        <x:v>no</x:v>
      </x:c>
      <x:c r="N390" s="108" t="str">
        <x:v>类型、BEDM 容器与 674×603×2390 mm 全高几何共同识别为固定衣柜单元 | confidence=0.99</x:v>
      </x:c>
    </x:row>
    <x:row r="391" ht="34" customHeight="1">
      <x:c r="A391" s="108" t="str">
        <x:v>REQ-0389</x:v>
      </x:c>
      <x:c r="B391" s="108" t="str">
        <x:v>FURIFC-059</x:v>
      </x:c>
      <x:c r="C391" s="108" t="str">
        <x:v>INT1</x:v>
      </x:c>
      <x:c r="D391" s="108" t="str">
        <x:v>installation_role</x:v>
      </x:c>
      <x:c r="E391" s="108" t="str">
        <x:v>fixed_furniture</x:v>
      </x:c>
      <x:c r="F391" s="108" t="str"/>
      <x:c r="G391" s="108" t="str"/>
      <x:c r="H391" s="108" t="str"/>
      <x:c r="I391" s="108" t="str">
        <x:v>project_candidate</x:v>
      </x:c>
      <x:c r="J391" s="108" t="str">
        <x:v>confirmed</x:v>
      </x:c>
      <x:c r="K391" s="108" t="str">
        <x:v>FUR-ROLE-SRC-a5ac9900ee5a</x:v>
      </x:c>
      <x:c r="L391" s="108" t="str"/>
      <x:c r="M391" s="108" t="str">
        <x:v>no</x:v>
      </x:c>
      <x:c r="N391" s="108" t="str">
        <x:v>类型、LIVING 容器与 628×600×2393 mm 全高几何共同识别为固定柜体单元 | confidence=0.99</x:v>
      </x:c>
    </x:row>
    <x:row r="392" ht="34" customHeight="1">
      <x:c r="A392" s="108" t="str">
        <x:v>REQ-0390</x:v>
      </x:c>
      <x:c r="B392" s="108" t="str">
        <x:v>FURIFC-013</x:v>
      </x:c>
      <x:c r="C392" s="108" t="str">
        <x:v>INT1</x:v>
      </x:c>
      <x:c r="D392" s="108" t="str">
        <x:v>installation_role</x:v>
      </x:c>
      <x:c r="E392" s="108" t="str">
        <x:v>fixed_furniture</x:v>
      </x:c>
      <x:c r="F392" s="108" t="str"/>
      <x:c r="G392" s="108" t="str"/>
      <x:c r="H392" s="108" t="str"/>
      <x:c r="I392" s="108" t="str">
        <x:v>project_candidate</x:v>
      </x:c>
      <x:c r="J392" s="108" t="str">
        <x:v>confirmed</x:v>
      </x:c>
      <x:c r="K392" s="108" t="str">
        <x:v>FUR-ROLE-SRC-29240b0b53cb</x:v>
      </x:c>
      <x:c r="L392" s="108" t="str"/>
      <x:c r="M392" s="108" t="str">
        <x:v>no</x:v>
      </x:c>
      <x:c r="N392" s="108" t="str">
        <x:v>类型、BEDG 容器与 1313×586×2390 mm 全高几何共同识别为固定衣柜单元 | confidence=0.99</x:v>
      </x:c>
    </x:row>
    <x:row r="393" ht="34" customHeight="1">
      <x:c r="A393" s="108" t="str">
        <x:v>REQ-0391</x:v>
      </x:c>
      <x:c r="B393" s="108" t="str">
        <x:v>FURIFC-011</x:v>
      </x:c>
      <x:c r="C393" s="108" t="str">
        <x:v>INT1</x:v>
      </x:c>
      <x:c r="D393" s="108" t="str">
        <x:v>installation_role</x:v>
      </x:c>
      <x:c r="E393" s="108" t="str">
        <x:v>loose_furniture</x:v>
      </x:c>
      <x:c r="F393" s="108" t="str"/>
      <x:c r="G393" s="108" t="str"/>
      <x:c r="H393" s="108" t="str"/>
      <x:c r="I393" s="108" t="str">
        <x:v>project_candidate</x:v>
      </x:c>
      <x:c r="J393" s="108" t="str">
        <x:v>confirmed</x:v>
      </x:c>
      <x:c r="K393" s="108" t="str">
        <x:v>FUR-ROLE-SRC-dba93f7d76bf</x:v>
      </x:c>
      <x:c r="L393" s="108" t="str"/>
      <x:c r="M393" s="108" t="str">
        <x:v>no</x:v>
      </x:c>
      <x:c r="N393" s="108" t="str">
        <x:v>类型、BEDM 容器与 399×399×450 mm 几何共同识别为活动床头柜 | confidence=0.99</x:v>
      </x:c>
    </x:row>
    <x:row r="394" ht="34" customHeight="1">
      <x:c r="A394" s="108" t="str">
        <x:v>REQ-0392</x:v>
      </x:c>
      <x:c r="B394" s="108" t="str">
        <x:v>FURIFC-030</x:v>
      </x:c>
      <x:c r="C394" s="108" t="str">
        <x:v>INT1</x:v>
      </x:c>
      <x:c r="D394" s="108" t="str">
        <x:v>installation_role</x:v>
      </x:c>
      <x:c r="E394" s="108" t="str">
        <x:v>loose_furniture</x:v>
      </x:c>
      <x:c r="F394" s="108" t="str"/>
      <x:c r="G394" s="108" t="str"/>
      <x:c r="H394" s="108" t="str"/>
      <x:c r="I394" s="108" t="str">
        <x:v>project_candidate</x:v>
      </x:c>
      <x:c r="J394" s="108" t="str">
        <x:v>confirmed</x:v>
      </x:c>
      <x:c r="K394" s="108" t="str">
        <x:v>FUR-ROLE-SRC-53bbe15616e1</x:v>
      </x:c>
      <x:c r="L394" s="108" t="str"/>
      <x:c r="M394" s="108" t="str">
        <x:v>no</x:v>
      </x:c>
      <x:c r="N394" s="108" t="str">
        <x:v>类型、BEDM 容器与 578×560×250 mm 几何共同识别为活动床头柜 | confidence=0.99</x:v>
      </x:c>
    </x:row>
    <x:row r="395" ht="34" customHeight="1">
      <x:c r="A395" s="108" t="str">
        <x:v>REQ-0393</x:v>
      </x:c>
      <x:c r="B395" s="108" t="str">
        <x:v>FURIFC-028</x:v>
      </x:c>
      <x:c r="C395" s="108" t="str">
        <x:v>INT1</x:v>
      </x:c>
      <x:c r="D395" s="108" t="str">
        <x:v>installation_role</x:v>
      </x:c>
      <x:c r="E395" s="108" t="str">
        <x:v>loose_furniture</x:v>
      </x:c>
      <x:c r="F395" s="108" t="str"/>
      <x:c r="G395" s="108" t="str"/>
      <x:c r="H395" s="108" t="str"/>
      <x:c r="I395" s="108" t="str">
        <x:v>project_candidate</x:v>
      </x:c>
      <x:c r="J395" s="108" t="str">
        <x:v>confirmed</x:v>
      </x:c>
      <x:c r="K395" s="108" t="str">
        <x:v>FUR-ROLE-SRC-8b2b41684309</x:v>
      </x:c>
      <x:c r="L395" s="108" t="str"/>
      <x:c r="M395" s="108" t="str">
        <x:v>no</x:v>
      </x:c>
      <x:c r="N395" s="108" t="str">
        <x:v>类型、BEDG 容器与 462×462×466 mm 几何共同识别为活动床头柜 | confidence=0.99</x:v>
      </x:c>
    </x:row>
    <x:row r="396" ht="34" customHeight="1">
      <x:c r="A396" s="108" t="str">
        <x:v>REQ-0394</x:v>
      </x:c>
      <x:c r="B396" s="108" t="str">
        <x:v>FURIFC-001</x:v>
      </x:c>
      <x:c r="C396" s="108" t="str">
        <x:v>INT1</x:v>
      </x:c>
      <x:c r="D396" s="108" t="str">
        <x:v>installation_role</x:v>
      </x:c>
      <x:c r="E396" s="108" t="str">
        <x:v>fixed_furniture</x:v>
      </x:c>
      <x:c r="F396" s="108" t="str"/>
      <x:c r="G396" s="108" t="str"/>
      <x:c r="H396" s="108" t="str"/>
      <x:c r="I396" s="108" t="str">
        <x:v>project_candidate</x:v>
      </x:c>
      <x:c r="J396" s="108" t="str">
        <x:v>confirmed</x:v>
      </x:c>
      <x:c r="K396" s="108" t="str">
        <x:v>FUR-ROLE-SRC-2e0c7dfb150a</x:v>
      </x:c>
      <x:c r="L396" s="108" t="str"/>
      <x:c r="M396" s="108" t="str">
        <x:v>no</x:v>
      </x:c>
      <x:c r="N396" s="108" t="str">
        <x:v>对象名 505 UP V1.LP.S、LIVING 容器与 2912×436×2380 mm 全高柜体几何共同证明固定安装 | confidence=0.99</x:v>
      </x:c>
    </x:row>
    <x:row r="397" ht="34" customHeight="1">
      <x:c r="A397" s="108" t="str">
        <x:v>REQ-0395</x:v>
      </x:c>
      <x:c r="B397" s="108" t="str">
        <x:v>FURIFC-003</x:v>
      </x:c>
      <x:c r="C397" s="108" t="str">
        <x:v>INT1</x:v>
      </x:c>
      <x:c r="D397" s="108" t="str">
        <x:v>installation_role</x:v>
      </x:c>
      <x:c r="E397" s="108" t="str">
        <x:v>fixed_furniture</x:v>
      </x:c>
      <x:c r="F397" s="108" t="str"/>
      <x:c r="G397" s="108" t="str"/>
      <x:c r="H397" s="108" t="str"/>
      <x:c r="I397" s="108" t="str">
        <x:v>project_candidate</x:v>
      </x:c>
      <x:c r="J397" s="108" t="str">
        <x:v>confirmed</x:v>
      </x:c>
      <x:c r="K397" s="108" t="str">
        <x:v>FUR-ROLE-SRC-34648f4c3ff7</x:v>
      </x:c>
      <x:c r="L397" s="108" t="str"/>
      <x:c r="M397" s="108" t="str">
        <x:v>no</x:v>
      </x:c>
      <x:c r="N397" s="108" t="str">
        <x:v>对象名 VVD Island worktop board 明确为岛台固定台面板 | confidence=1.00</x:v>
      </x:c>
    </x:row>
    <x:row r="398" ht="34" customHeight="1">
      <x:c r="A398" s="108" t="str">
        <x:v>REQ-0396</x:v>
      </x:c>
      <x:c r="B398" s="108" t="str">
        <x:v>FURIFC-002</x:v>
      </x:c>
      <x:c r="C398" s="108" t="str">
        <x:v>INT1</x:v>
      </x:c>
      <x:c r="D398" s="108" t="str">
        <x:v>installation_role</x:v>
      </x:c>
      <x:c r="E398" s="108" t="str">
        <x:v>fixed_furniture</x:v>
      </x:c>
      <x:c r="F398" s="108" t="str"/>
      <x:c r="G398" s="108" t="str"/>
      <x:c r="H398" s="108" t="str"/>
      <x:c r="I398" s="108" t="str">
        <x:v>project_candidate</x:v>
      </x:c>
      <x:c r="J398" s="108" t="str">
        <x:v>confirmed</x:v>
      </x:c>
      <x:c r="K398" s="108" t="str">
        <x:v>FUR-ROLE-SRC-2a7cfd77b897</x:v>
      </x:c>
      <x:c r="L398" s="108" t="str"/>
      <x:c r="M398" s="108" t="str">
        <x:v>no</x:v>
      </x:c>
      <x:c r="N398" s="108" t="str">
        <x:v>对象名 VVD Island Inner Sideboard 明确为岛台固定侧板 | confidence=1.00</x:v>
      </x:c>
    </x:row>
  </x:sheetData>
  <x:mergeCells>
    <x:mergeCell ref="A1:N1"/>
  </x:mergeCells>
  <x:pageMargins left="0.7" right="0.7" top="0.75" bottom="0.75" header="0.3" footer="0.3"/>
  <x:tableParts count="1">
    <x:tablePart xmlns:r="http://schemas.openxmlformats.org/officeDocument/2006/relationships" r:id="Ra3fc13b48e404a9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42" hidden="0" customWidth="1"/>
    <x:col min="13" max="13" width="42"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42" hidden="0" customWidth="1"/>
    <x:col min="24" max="24" width="42" hidden="0" customWidth="1"/>
  </x:cols>
  <x:sheetData>
    <x:row r="1" ht="28" customHeight="1">
      <x:c r="A1" s="100" t="str">
        <x:v>官方资料、到货照片、现场证据与哈希（只读派生）</x:v>
      </x:c>
    </x:row>
    <x:row r="2" ht="32" customHeight="1">
      <x:c r="A2" s="105" t="str">
        <x:v>source_id</x:v>
      </x:c>
      <x:c r="B2" s="105" t="str">
        <x:v>discipline</x:v>
      </x:c>
      <x:c r="C2" s="105" t="str">
        <x:v>sheet_id</x:v>
      </x:c>
      <x:c r="D2" s="105" t="str">
        <x:v>decision_scope</x:v>
      </x:c>
      <x:c r="E2" s="105" t="str">
        <x:v>source_kind</x:v>
      </x:c>
      <x:c r="F2" s="105" t="str">
        <x:v>source_document</x:v>
      </x:c>
      <x:c r="G2" s="105" t="str">
        <x:v>source_url</x:v>
      </x:c>
      <x:c r="H2" s="105" t="str">
        <x:v>local_path</x:v>
      </x:c>
      <x:c r="I2" s="105" t="str">
        <x:v>sha256</x:v>
      </x:c>
      <x:c r="J2" s="105" t="str">
        <x:v>locator</x:v>
      </x:c>
      <x:c r="K2" s="105" t="str">
        <x:v>evidence</x:v>
      </x:c>
      <x:c r="L2" s="105" t="str">
        <x:v>proves</x:v>
      </x:c>
      <x:c r="M2" s="105" t="str">
        <x:v>does_not_prove</x:v>
      </x:c>
      <x:c r="N2" s="105" t="str">
        <x:v>status</x:v>
      </x:c>
      <x:c r="O2" s="105" t="str">
        <x:v>confidence</x:v>
      </x:c>
      <x:c r="P2" s="105" t="str">
        <x:v>review_required</x:v>
      </x:c>
      <x:c r="Q2" s="105" t="str">
        <x:v>formal_ifc_write_allowed</x:v>
      </x:c>
      <x:c r="R2" s="105" t="str">
        <x:v>manufacturer</x:v>
      </x:c>
      <x:c r="S2" s="105" t="str">
        <x:v>model_scope</x:v>
      </x:c>
      <x:c r="T2" s="105" t="str">
        <x:v>revision</x:v>
      </x:c>
      <x:c r="U2" s="105" t="str">
        <x:v>publication_date</x:v>
      </x:c>
      <x:c r="V2" s="105" t="str">
        <x:v>legacy_targets</x:v>
      </x:c>
      <x:c r="W2" s="105" t="str">
        <x:v>legacy_projection_json</x:v>
      </x:c>
      <x:c r="X2" s="105" t="str">
        <x:v>notes</x:v>
      </x:c>
    </x:row>
    <x:row r="3" ht="34" customHeight="1">
      <x:c r="A3" s="108" t="str">
        <x:v>E304-CAD-001</x:v>
      </x:c>
      <x:c r="B3" s="108" t="str">
        <x:v>ELEC</x:v>
      </x:c>
      <x:c r="C3" s="108" t="str">
        <x:v>E-304</x:v>
      </x:c>
      <x:c r="D3" s="108" t="str">
        <x:v>弱电箱所在家具</x:v>
      </x:c>
      <x:c r="E3" s="108" t="str">
        <x:v>official_dwg</x:v>
      </x:c>
      <x:c r="F3" s="108" t="str">
        <x:v>01 成品房(D1户型-115)平面系统图.dwg</x:v>
      </x:c>
      <x:c r="G3" s="108" t="str"/>
      <x:c r="H3" s="108" t="str">
        <x:v>/Users/jiaxinchen/Documents/Projects/仁恒-滨海湾/图纸/矩阵纵横/01 成品房(D1户型-115)平面系统图.dwg</x:v>
      </x:c>
      <x:c r="I3" s="108" t="str">
        <x:v>ba355f6a90732ad07f843d59e8bab5e1da9daffe7aed74889d1d265b2ce22d7e</x:v>
      </x:c>
      <x:c r="J3" s="108" t="str">
        <x:v>通用说明；验证转换DXF BLOCK A$C5B8D7635 / TEXT #2598C0</x:v>
      </x:c>
      <x:c r="K3" s="108" t="str">
        <x:v>强电箱、弱电箱配置于过道高柜内，见机电综合点位图</x:v>
      </x:c>
      <x:c r="L3" s="108" t="str">
        <x:v>强弱电箱位于过道高柜</x:v>
      </x:c>
      <x:c r="M3" s="108" t="str">
        <x:v>路由器产品与安装高度及柜内层位</x:v>
      </x:c>
      <x:c r="N3" s="108" t="str">
        <x:v>verified_official_source</x:v>
      </x:c>
      <x:c r="O3" s="108" t="str">
        <x:v>1.00</x:v>
      </x:c>
      <x:c r="P3" s="108" t="str">
        <x:v>no</x:v>
      </x:c>
      <x:c r="Q3" s="108" t="str">
        <x:v>no</x:v>
      </x:c>
      <x:c r="R3" s="108" t="str"/>
      <x:c r="S3" s="108" t="str"/>
      <x:c r="T3" s="108" t="str"/>
      <x:c r="U3" s="108" t="str"/>
      <x:c r="V3" s="108" t="str">
        <x:v>elec-source-evidence.csv</x:v>
      </x:c>
      <x:c r="W3" s="108" t="str">
        <x:v>{"evidence_id":"E304-CAD-001","discipline":"ELEC","sheet_id":"E-304","decision_scope":"弱电箱所在家具","source_kind":"official_dwg","source_document":"01 成品房(D1户型-115)平面系统图.dwg","source_sha256":"ba355f6a90732ad07f843d59e8bab5e1da9daffe7aed74889d1d265b2ce22d7e","source_locator":"通用说明；验证转换DXF BLOCK A$C5B8D7635 / TEXT #2598C0","evidence":"强电箱、弱电箱配置于过道高柜内，见机电综合点位图","proves":"强弱电箱位于过道高柜","does_not_prove":"路由器产品与安装高度及柜内层位","status":"verified_official_source","confidence":"1.00","review_required":"no","formal_ifc_write_allowed":"no","notes":"原始DWG哈希固定；文字实体由验证转换DXF机械读取"}</x:v>
      </x:c>
      <x:c r="X3" s="108" t="str">
        <x:v>原始DWG哈希固定；文字实体由验证转换DXF机械读取</x:v>
      </x:c>
    </x:row>
    <x:row r="4" ht="34" customHeight="1">
      <x:c r="A4" s="108" t="str">
        <x:v>E304-CAD-002</x:v>
      </x:c>
      <x:c r="B4" s="108" t="str">
        <x:v>ELEC</x:v>
      </x:c>
      <x:c r="C4" s="108" t="str">
        <x:v>E-304</x:v>
      </x:c>
      <x:c r="D4" s="108" t="str">
        <x:v>弱电箱平面柜格及安装基准</x:v>
      </x:c>
      <x:c r="E4" s="108" t="str">
        <x:v>verified_dwg_conversion</x:v>
      </x:c>
      <x:c r="F4" s="108" t="str">
        <x:v>d1-handover-plan.dxf</x:v>
      </x:c>
      <x:c r="G4" s="108" t="str"/>
      <x:c r="H4" s="108" t="str">
        <x:v>tmp/dwg/d1-handover-plan.dxf</x:v>
      </x:c>
      <x:c r="I4" s="108" t="str">
        <x:v>706483de83d90e526d7d7cf4f0b097902a4f97868c16aba5f6fac9d9e942f0f0</x:v>
      </x:c>
      <x:c r="J4" s="108" t="str">
        <x:v>E-2弱电平面图；VIEWPORT #224238；LEADER #224271；TEXT #224270/#224295；柜体 #22017E/#220182</x:v>
      </x:c>
      <x:c r="K4" s="108" t="str">
        <x:v>引线落点换算为IFC XY约(4600.016,-735.369)mm；弱电箱底边H+350mm；箱内预留五孔插座</x:v>
      </x:c>
      <x:c r="L4" s="108" t="str">
        <x:v>弱电箱所在右侧高柜柜格和平面坐标及弱电箱底边基准</x:v>
      </x:c>
      <x:c r="M4" s="108" t="str">
        <x:v>路由器自身Z和供电数据端口散热检修条件</x:v>
      </x:c>
      <x:c r="N4" s="108" t="str">
        <x:v>verified_conversion_evidence</x:v>
      </x:c>
      <x:c r="O4" s="108" t="str">
        <x:v>1.00</x:v>
      </x:c>
      <x:c r="P4" s="108" t="str">
        <x:v>no</x:v>
      </x:c>
      <x:c r="Q4" s="108" t="str">
        <x:v>no</x:v>
      </x:c>
      <x:c r="R4" s="108" t="str"/>
      <x:c r="S4" s="108" t="str"/>
      <x:c r="T4" s="108" t="str"/>
      <x:c r="U4" s="108" t="str"/>
      <x:c r="V4" s="108" t="str">
        <x:v>elec-source-evidence.csv</x:v>
      </x:c>
      <x:c r="W4" s="108" t="str">
        <x:v>{"evidence_id":"E304-CAD-002","discipline":"ELEC","sheet_id":"E-304","decision_scope":"弱电箱平面柜格及安装基准","source_kind":"verified_dwg_conversion","source_document":"d1-handover-plan.dxf","source_sha256":"706483de83d90e526d7d7cf4f0b097902a4f97868c16aba5f6fac9d9e942f0f0","source_locator":"E-2弱电平面图；VIEWPORT #224238；LEADER #224271；TEXT #224270/#224295；柜体 #22017E/#220182","evidence":"引线落点换算为IFC XY约(4600.016,-735.369)mm；弱电箱底边H+350mm；箱内预留五孔插座","proves":"弱电箱所在右侧高柜柜格和平面坐标及弱电箱底边基准","does_not_prove":"路由器自身Z和供电数据端口散热检修条件","status":"verified_conversion_evidence","confidence":"1.00","review_required":"no","formal_ifc_write_allowed":"no","notes":"纸空间经50倍视口与Grid偏移机械换算；H+350不得当作路由器高度"}</x:v>
      </x:c>
      <x:c r="X4" s="108" t="str">
        <x:v>纸空间经50倍视口与Grid偏移机械换算；H+350不得当作路由器高度</x:v>
      </x:c>
    </x:row>
    <x:row r="5" ht="34" customHeight="1">
      <x:c r="A5" s="108" t="str">
        <x:v>E304-USER-001</x:v>
      </x:c>
      <x:c r="B5" s="108" t="str">
        <x:v>ELEC</x:v>
      </x:c>
      <x:c r="C5" s="108" t="str">
        <x:v>E-304</x:v>
      </x:c>
      <x:c r="D5" s="108" t="str">
        <x:v>客厅书房共享路由器位置</x:v>
      </x:c>
      <x:c r="E5" s="108" t="str">
        <x:v>user_confirmation</x:v>
      </x:c>
      <x:c r="F5" s="108" t="str">
        <x:v>Codex task 2026-08-10</x:v>
      </x:c>
      <x:c r="G5" s="108" t="str"/>
      <x:c r="H5" s="108" t="str">
        <x:v>Codex task 2026-08-10</x:v>
      </x:c>
      <x:c r="I5" s="108" t="str">
        <x:v>not_applicable_user_confirmation</x:v>
      </x:c>
      <x:c r="J5" s="108" t="str">
        <x:v>用户本轮明确“Router 得放门口的柜子里头”</x:v>
      </x:c>
      <x:c r="K5" s="108" t="str">
        <x:v>共享路由器放入户玄关/过道高柜的弱电箱柜位</x:v>
      </x:c>
      <x:c r="L5" s="108" t="str">
        <x:v>用户对柜位的设计确认</x:v>
      </x:c>
      <x:c r="M5" s="108" t="str">
        <x:v>具体产品Z层板散热检修供电通信及弱电拓扑</x:v>
      </x:c>
      <x:c r="N5" s="108" t="str">
        <x:v>position_confirmed_details_pending</x:v>
      </x:c>
      <x:c r="O5" s="108" t="str">
        <x:v>1.00</x:v>
      </x:c>
      <x:c r="P5" s="108" t="str">
        <x:v>yes</x:v>
      </x:c>
      <x:c r="Q5" s="108" t="str">
        <x:v>no</x:v>
      </x:c>
      <x:c r="R5" s="108" t="str"/>
      <x:c r="S5" s="108" t="str"/>
      <x:c r="T5" s="108" t="str"/>
      <x:c r="U5" s="108" t="str"/>
      <x:c r="V5" s="108" t="str">
        <x:v>elec-source-evidence.csv</x:v>
      </x:c>
      <x:c r="W5" s="108" t="str">
        <x:v>{"evidence_id":"E304-USER-001","discipline":"ELEC","sheet_id":"E-304","decision_scope":"客厅书房共享路由器位置","source_kind":"user_confirmation","source_document":"Codex task 2026-08-10","source_sha256":"not_applicable_user_confirmation","source_locator":"用户本轮明确“Router 得放门口的柜子里头”","evidence":"共享路由器放入户玄关/过道高柜的弱电箱柜位","proves":"用户对柜位的设计确认","does_not_prove":"具体产品Z层板散热检修供电通信及弱电拓扑","status":"position_confirmed_details_pending","confidence":"1.00","review_required":"yes","formal_ifc_write_allowed":"no","notes":"服务客厅与书房开放空间；主卧次卧仍各设有线回程AP"}</x:v>
      </x:c>
      <x:c r="X5" s="108" t="str">
        <x:v>服务客厅与书房开放空间；主卧次卧仍各设有线回程AP</x:v>
      </x:c>
    </x:row>
    <x:row r="6" ht="34" customHeight="1">
      <x:c r="A6" s="108" t="str">
        <x:v>E304-PHOTO-001</x:v>
      </x:c>
      <x:c r="B6" s="108" t="str">
        <x:v>ELEC</x:v>
      </x:c>
      <x:c r="C6" s="108" t="str">
        <x:v>E-304</x:v>
      </x:c>
      <x:c r="D6" s="108" t="str">
        <x:v>弱电箱外观及所在柜格</x:v>
      </x:c>
      <x:c r="E6" s="108" t="str">
        <x:v>user_site_photo</x:v>
      </x:c>
      <x:c r="F6" s="108" t="str">
        <x:v>drawings/evidence/E304-entry-cabinet-weak-current-box-closed.jpg</x:v>
      </x:c>
      <x:c r="G6" s="108" t="str"/>
      <x:c r="H6" s="108" t="str">
        <x:v>drawings/evidence/E304-entry-cabinet-weak-current-box-closed.jpg</x:v>
      </x:c>
      <x:c r="I6" s="108" t="str">
        <x:v>5f428bf20247e8a131ac4315e1f0c3958ab0e0e2823966f96cd7d80f4e1df938</x:v>
      </x:c>
      <x:c r="J6" s="108" t="str">
        <x:v>弱电箱关闭状态近景；用户确认白色箱体为弱电箱</x:v>
      </x:c>
      <x:c r="K6" s="108" t="str">
        <x:v>白色带面板散热孔箱体安装在玄关高柜右下柜格且柜格前方有独立层板</x:v>
      </x:c>
      <x:c r="L6" s="108" t="str">
        <x:v>弱电箱外观、右下柜格位置及前方独立层板的现状关系</x:v>
      </x:c>
      <x:c r="M6" s="108" t="str">
        <x:v>弱电箱内部设备身份、端口数量、柜体尺寸及路由器最终层位</x:v>
      </x:c>
      <x:c r="N6" s="108" t="str">
        <x:v>verified_user_photo</x:v>
      </x:c>
      <x:c r="O6" s="108" t="str">
        <x:v>1.00</x:v>
      </x:c>
      <x:c r="P6" s="108" t="str">
        <x:v>no</x:v>
      </x:c>
      <x:c r="Q6" s="108" t="str">
        <x:v>no</x:v>
      </x:c>
      <x:c r="R6" s="108" t="str"/>
      <x:c r="S6" s="108" t="str"/>
      <x:c r="T6" s="108" t="str"/>
      <x:c r="U6" s="108" t="str"/>
      <x:c r="V6" s="108" t="str">
        <x:v>elec-source-evidence.csv</x:v>
      </x:c>
      <x:c r="W6" s="108" t="str">
        <x:v>{"evidence_id":"E304-PHOTO-001","discipline":"ELEC","sheet_id":"E-304","decision_scope":"弱电箱外观及所在柜格","source_kind":"user_site_photo","source_document":"drawings/evidence/E304-entry-cabinet-weak-current-box-closed.jpg","source_sha256":"5f428bf20247e8a131ac4315e1f0c3958ab0e0e2823966f96cd7d80f4e1df938","source_locator":"弱电箱关闭状态近景；用户确认白色箱体为弱电箱","evidence":"白色带面板散热孔箱体安装在玄关高柜右下柜格且柜格前方有独立层板","proves":"弱电箱外观、右下柜格位置及前方独立层板的现状关系","does_not_prove":"弱电箱内部设备身份、端口数量、柜体尺寸及路由器最终层位","status":"verified_user_photo","confidence":"1.00","review_required":"no","formal_ifc_write_allowed":"no","notes":"原始960×1280 JPEG按字节固化；无比例尺不得据图量取施工尺寸"}</x:v>
      </x:c>
      <x:c r="X6" s="108" t="str">
        <x:v>原始960×1280 JPEG按字节固化；无比例尺不得据图量取施工尺寸</x:v>
      </x:c>
    </x:row>
    <x:row r="7" ht="34" customHeight="1">
      <x:c r="A7" s="108" t="str">
        <x:v>APP-DW-SPEC-001</x:v>
      </x:c>
      <x:c r="B7" s="108" t="str">
        <x:v>ELEC</x:v>
      </x:c>
      <x:c r="C7" s="108" t="str">
        <x:v>E-303</x:v>
      </x:c>
      <x:c r="D7" s="108" t="str">
        <x:v>APP-009/APP-010 洗碗机候选型号与额定负荷</x:v>
      </x:c>
      <x:c r="E7" s="108" t="str">
        <x:v>official_product_spec</x:v>
      </x:c>
      <x:c r="F7" s="108" t="str">
        <x:v>drawings/evidence/APP-009-010-Siemens-SJ85ZX26MC-specsheet.pdf</x:v>
      </x:c>
      <x:c r="G7" s="108" t="str"/>
      <x:c r="H7" s="108" t="str">
        <x:v>drawings/evidence/APP-009-010-Siemens-SJ85ZX26MC-specsheet.pdf</x:v>
      </x:c>
      <x:c r="I7" s="108" t="str">
        <x:v>32adbf767fc50dba3dcd4932b3d05b644ac3ae70dc3731f2935a2234553e22d4</x:v>
      </x:c>
      <x:c r="J7" s="108" t="str">
        <x:v>p.1</x:v>
      </x:c>
      <x:c r="K7" s="108" t="str">
        <x:v>Siemens SJ85ZX26MC；全嵌式 60 cm；2000 W；220 V；10 A；产品 775×598×550 mm；柜孔 H780–835×W600–608×D≥550 mm</x:v>
      </x:c>
      <x:c r="L7" s="108" t="str">
        <x:v>候选型号的官方存在性、额定负荷及设备/柜孔包络</x:v>
      </x:c>
      <x:c r="M7" s="108" t="str">
        <x:v>两台是否最终采购同型号、完整 E-Nr./FD、现场回路和安装点</x:v>
      </x:c>
      <x:c r="N7" s="108" t="str">
        <x:v>verified_official_source</x:v>
      </x:c>
      <x:c r="O7" s="108" t="str">
        <x:v>1.00</x:v>
      </x:c>
      <x:c r="P7" s="108" t="str">
        <x:v>yes</x:v>
      </x:c>
      <x:c r="Q7" s="108" t="str">
        <x:v>no</x:v>
      </x:c>
      <x:c r="R7" s="108" t="str"/>
      <x:c r="S7" s="108" t="str"/>
      <x:c r="T7" s="108" t="str"/>
      <x:c r="U7" s="108" t="str"/>
      <x:c r="V7" s="108" t="str">
        <x:v>elec-source-evidence.csv</x:v>
      </x:c>
      <x:c r="W7" s="108" t="str">
        <x:v>{"evidence_id":"APP-DW-SPEC-001","discipline":"ELEC","sheet_id":"E-303","decision_scope":"APP-009/APP-010 洗碗机候选型号与额定负荷","source_kind":"official_product_spec","source_document":"drawings/evidence/APP-009-010-Siemens-SJ85ZX26MC-specsheet.pdf","source_sha256":"32adbf767fc50dba3dcd4932b3d05b644ac3ae70dc3731f2935a2234553e22d4","source_locator":"p.1","evidence":"Siemens SJ85ZX26MC；全嵌式 60 cm；2000 W；220 V；10 A；产品 775×598×550 mm；柜孔 H780–835×W600–608×D≥550 mm","proves":"候选型号的官方存在性、额定负荷及设备/柜孔包络","does_not_prove":"两台是否最终采购同型号、完整 E-Nr./FD、现场回路和安装点","status":"verified_official_source","confidence":"1.00","review_required":"yes","formal_ifc_write_allowed":"no","notes":"两台仍为未采购候选；不得升级为已购或到货产品"}</x:v>
      </x:c>
      <x:c r="X7" s="108" t="str">
        <x:v>两台仍为未采购候选；不得升级为已购或到货产品</x:v>
      </x:c>
    </x:row>
    <x:row r="8" ht="34" customHeight="1">
      <x:c r="A8" s="108" t="str">
        <x:v>APP-DW-INSTALL-001</x:v>
      </x:c>
      <x:c r="B8" s="108" t="str">
        <x:v>ELEC/PLUM/INT1</x:v>
      </x:c>
      <x:c r="C8" s="108" t="str">
        <x:v>E-303/P-201/I-503</x:v>
      </x:c>
      <x:c r="D8" s="108" t="str">
        <x:v>APP-009/APP-010 洗碗机柜体门板与给排水接口</x:v>
      </x:c>
      <x:c r="E8" s="108" t="str">
        <x:v>official_installation_manual</x:v>
      </x:c>
      <x:c r="F8" s="108" t="str">
        <x:v>drawings/evidence/APP-009-010-Siemens-SJ85ZX26MC-installation-9002067344_A.pdf</x:v>
      </x:c>
      <x:c r="G8" s="108" t="str"/>
      <x:c r="H8" s="108" t="str">
        <x:v>drawings/evidence/APP-009-010-Siemens-SJ85ZX26MC-installation-9002067344_A.pdf</x:v>
      </x:c>
      <x:c r="I8" s="108" t="str">
        <x:v>9abc6dfb936e7ea6ed729bdd775bd03a5e0ad0d0740322c05b20be184be49765</x:v>
      </x:c>
      <x:c r="J8" s="108" t="str">
        <x:v>p.1–2</x:v>
      </x:c>
      <x:c r="K8" s="108" t="str">
        <x:v>柜孔 H780–835×W600–608×D≥550 mm；管线孔≥100×50 mm；门板 W594、厚≤20 mm、重3.5–8.5 kg；进水 G3/4；排水接管 Ø38 mm且图示最低280 mm；0.05–1 MPa；≥10 L/min；冷水≤25°C</x:v>
      </x:c>
      <x:c r="L8" s="108" t="str">
        <x:v>洗碗机柜孔、门板、进排水和管线孔的官方施工约束</x:v>
      </x:c>
      <x:c r="M8" s="108" t="str">
        <x:v>实际门板高度与踢脚 c/d 套算、现场阀门/支管/软管路径、两机位侧板固定条件</x:v>
      </x:c>
      <x:c r="N8" s="108" t="str">
        <x:v>verified_official_source</x:v>
      </x:c>
      <x:c r="O8" s="108" t="str">
        <x:v>1.00</x:v>
      </x:c>
      <x:c r="P8" s="108" t="str">
        <x:v>yes</x:v>
      </x:c>
      <x:c r="Q8" s="108" t="str">
        <x:v>no</x:v>
      </x:c>
      <x:c r="R8" s="108" t="str"/>
      <x:c r="S8" s="108" t="str"/>
      <x:c r="T8" s="108" t="str"/>
      <x:c r="U8" s="108" t="str"/>
      <x:c r="V8" s="108" t="str">
        <x:v>elec-source-evidence.csv</x:v>
      </x:c>
      <x:c r="W8" s="108" t="str">
        <x:v>{"evidence_id":"APP-DW-INSTALL-001","discipline":"ELEC/PLUM/INT1","sheet_id":"E-303/P-201/I-503","decision_scope":"APP-009/APP-010 洗碗机柜体门板与给排水接口","source_kind":"official_installation_manual","source_document":"drawings/evidence/APP-009-010-Siemens-SJ85ZX26MC-installation-9002067344_A.pdf","source_sha256":"9abc6dfb936e7ea6ed729bdd775bd03a5e0ad0d0740322c05b20be184be49765","source_locator":"p.1–2","evidence":"柜孔 H780–835×W600–608×D≥550 mm；管线孔≥100×50 mm；门板 W594、厚≤20 mm、重3.5–8.5 kg；进水 G3/4；排水接管 Ø38 mm且图示最低280 mm；0.05–1 MPa；≥10 L/min；冷水≤25°C","proves":"洗碗机柜孔、门板、进排水和管线孔的官方施工约束","does_not_prove":"实际门板高度与踢脚 c/d 套算、现场阀门/支管/软管路径、两机位侧板固定条件","status":"verified_official_source","confidence":"1.00","review_required":"yes","formal_ifc_write_allowed":"no","notes":"c/d 仅能按官方图定义由橱柜深化套算；不得当作通用踢脚退距"}</x:v>
      </x:c>
      <x:c r="X8" s="108" t="str">
        <x:v>c/d 仅能按官方图定义由橱柜深化套算；不得当作通用踢脚退距</x:v>
      </x:c>
    </x:row>
    <x:row r="9" ht="34" customHeight="1">
      <x:c r="A9" s="108" t="str">
        <x:v>APP-DW-MANUAL-001</x:v>
      </x:c>
      <x:c r="B9" s="108" t="str">
        <x:v>ELEC/PLUM</x:v>
      </x:c>
      <x:c r="C9" s="108" t="str">
        <x:v>E-303/P-201</x:v>
      </x:c>
      <x:c r="D9" s="108" t="str">
        <x:v>APP-009/APP-010 洗碗机供电供水与检修条件</x:v>
      </x:c>
      <x:c r="E9" s="108" t="str">
        <x:v>official_user_manual</x:v>
      </x:c>
      <x:c r="F9" s="108" t="str">
        <x:v>drawings/evidence/APP-009-010-Siemens-SJ85ZX26MC-user-manual-9002057324_C.pdf</x:v>
      </x:c>
      <x:c r="G9" s="108" t="str"/>
      <x:c r="H9" s="108" t="str">
        <x:v>drawings/evidence/APP-009-010-Siemens-SJ85ZX26MC-user-manual-9002057324_C.pdf</x:v>
      </x:c>
      <x:c r="I9" s="108" t="str">
        <x:v>be25d46f970dd1b8c570c44d0c57ca06000118d0d358f607cc6ed95b6ed49d90</x:v>
      </x:c>
      <x:c r="J9" s="108" t="str">
        <x:v>p.3–4、p.8、p.31–32</x:v>
      </x:c>
      <x:c r="K9" s="108" t="str">
        <x:v>220 V/50 Hz；2000 W；官方保护范围10–16 A；插头须可操作或固定线路设断开装置；禁用延长线/排插；冷水≤25°C；台面下安装固定橱柜两侧</x:v>
      </x:c>
      <x:c r="L9" s="108" t="str">
        <x:v>供电容量、断开可达性、供水范围及侧向固定要求</x:v>
      </x:c>
      <x:c r="M9" s="108" t="str">
        <x:v>现场断路器/RCD/插座位置、是否最终采购、专用通风孔面积</x:v>
      </x:c>
      <x:c r="N9" s="108" t="str">
        <x:v>verified_official_source</x:v>
      </x:c>
      <x:c r="O9" s="108" t="str">
        <x:v>1.00</x:v>
      </x:c>
      <x:c r="P9" s="108" t="str">
        <x:v>yes</x:v>
      </x:c>
      <x:c r="Q9" s="108" t="str">
        <x:v>no</x:v>
      </x:c>
      <x:c r="R9" s="108" t="str"/>
      <x:c r="S9" s="108" t="str"/>
      <x:c r="T9" s="108" t="str"/>
      <x:c r="U9" s="108" t="str"/>
      <x:c r="V9" s="108" t="str">
        <x:v>elec-source-evidence.csv</x:v>
      </x:c>
      <x:c r="W9" s="108" t="str">
        <x:v>{"evidence_id":"APP-DW-MANUAL-001","discipline":"ELEC/PLUM","sheet_id":"E-303/P-201","decision_scope":"APP-009/APP-010 洗碗机供电供水与检修条件","source_kind":"official_user_manual","source_document":"drawings/evidence/APP-009-010-Siemens-SJ85ZX26MC-user-manual-9002057324_C.pdf","source_sha256":"be25d46f970dd1b8c570c44d0c57ca06000118d0d358f607cc6ed95b6ed49d90","source_locator":"p.3–4、p.8、p.31–32","evidence":"220 V/50 Hz；2000 W；官方保护范围10–16 A；插头须可操作或固定线路设断开装置；禁用延长线/排插；冷水≤25°C；台面下安装固定橱柜两侧","proves":"供电容量、断开可达性、供水范围及侧向固定要求","does_not_prove":"现场断路器/RCD/插座位置、是否最终采购、专用通风孔面积","status":"verified_official_source","confidence":"1.00","review_required":"yes","formal_ifc_write_allowed":"no","notes":"说明书支持设备可抽出检修的设计推论；未给出专用柜体通风孔尺寸"}</x:v>
      </x:c>
      <x:c r="X9" s="108" t="str">
        <x:v>说明书支持设备可抽出检修的设计推论；未给出专用柜体通风孔尺寸</x:v>
      </x:c>
    </x:row>
    <x:row r="10" ht="34" customHeight="1">
      <x:c r="A10" s="108" t="str">
        <x:v>E304-PHOTO-002</x:v>
      </x:c>
      <x:c r="B10" s="108" t="str">
        <x:v>ELEC</x:v>
      </x:c>
      <x:c r="C10" s="108" t="str">
        <x:v>E-304</x:v>
      </x:c>
      <x:c r="D10" s="108" t="str">
        <x:v>强弱电箱柜内竖向关系</x:v>
      </x:c>
      <x:c r="E10" s="108" t="str">
        <x:v>user_site_photo</x:v>
      </x:c>
      <x:c r="F10" s="108" t="str">
        <x:v>drawings/evidence/E304-entry-cabinet-overview.jpg</x:v>
      </x:c>
      <x:c r="G10" s="108" t="str"/>
      <x:c r="H10" s="108" t="str">
        <x:v>drawings/evidence/E304-entry-cabinet-overview.jpg</x:v>
      </x:c>
      <x:c r="I10" s="108" t="str">
        <x:v>e9d9bf64928f264d6d59a3184b791b3a92464ff8d36f5d09e651269d76c8508f</x:v>
      </x:c>
      <x:c r="J10" s="108" t="str">
        <x:v>玄关高柜全景；用户确认上部透明盖箱为带空气开关的强电配电箱、下部白色箱为弱电箱</x:v>
      </x:c>
      <x:c r="K10" s="108" t="str">
        <x:v>强电配电箱位于上部柜格且弱电箱位于右下柜格并由多层木质层板分隔</x:v>
      </x:c>
      <x:c r="L10" s="108" t="str">
        <x:v>强弱电箱身份及柜内上下关系</x:v>
      </x:c>
      <x:c r="M10" s="108" t="str">
        <x:v>柜体净深、准确标高、柜门关闭后的通风量及任何产品安装许可</x:v>
      </x:c>
      <x:c r="N10" s="108" t="str">
        <x:v>verified_user_photo_with_identification</x:v>
      </x:c>
      <x:c r="O10" s="108" t="str">
        <x:v>1.00</x:v>
      </x:c>
      <x:c r="P10" s="108" t="str">
        <x:v>no</x:v>
      </x:c>
      <x:c r="Q10" s="108" t="str">
        <x:v>no</x:v>
      </x:c>
      <x:c r="R10" s="108" t="str"/>
      <x:c r="S10" s="108" t="str"/>
      <x:c r="T10" s="108" t="str"/>
      <x:c r="U10" s="108" t="str"/>
      <x:c r="V10" s="108" t="str">
        <x:v>elec-source-evidence.csv</x:v>
      </x:c>
      <x:c r="W10" s="108" t="str">
        <x:v>{"evidence_id":"E304-PHOTO-002","discipline":"ELEC","sheet_id":"E-304","decision_scope":"强弱电箱柜内竖向关系","source_kind":"user_site_photo","source_document":"drawings/evidence/E304-entry-cabinet-overview.jpg","source_sha256":"e9d9bf64928f264d6d59a3184b791b3a92464ff8d36f5d09e651269d76c8508f","source_locator":"玄关高柜全景；用户确认上部透明盖箱为带空气开关的强电配电箱、下部白色箱为弱电箱","evidence":"强电配电箱位于上部柜格且弱电箱位于右下柜格并由多层木质层板分隔","proves":"强弱电箱身份及柜内上下关系","does_not_prove":"柜体净深、准确标高、柜门关闭后的通风量及任何产品安装许可","status":"verified_user_photo_with_identification","confidence":"1.00","review_required":"no","formal_ifc_write_allowed":"no","notes":"原始960×1280 JPEG按字节固化；照片支持实物关系但不替代尺寸复测"}</x:v>
      </x:c>
      <x:c r="X10" s="108" t="str">
        <x:v>原始960×1280 JPEG按字节固化；照片支持实物关系但不替代尺寸复测</x:v>
      </x:c>
    </x:row>
    <x:row r="11" ht="34" customHeight="1">
      <x:c r="A11" s="108" t="str">
        <x:v>E304-PHOTO-003</x:v>
      </x:c>
      <x:c r="B11" s="108" t="str">
        <x:v>ELEC</x:v>
      </x:c>
      <x:c r="C11" s="108" t="str">
        <x:v>E-304</x:v>
      </x:c>
      <x:c r="D11" s="108" t="str">
        <x:v>现状弱电箱内部设备与线缆</x:v>
      </x:c>
      <x:c r="E11" s="108" t="str">
        <x:v>user_site_photo</x:v>
      </x:c>
      <x:c r="F11" s="108" t="str">
        <x:v>drawings/evidence/E304-entry-cabinet-weak-current-box-open.jpg</x:v>
      </x:c>
      <x:c r="G11" s="108" t="str"/>
      <x:c r="H11" s="108" t="str">
        <x:v>drawings/evidence/E304-entry-cabinet-weak-current-box-open.jpg</x:v>
      </x:c>
      <x:c r="I11" s="108" t="str">
        <x:v>3d01b1292d7620389e3920cfbd3420a3f0bb1fd77d754a0f59c48ec56dc4d384</x:v>
      </x:c>
      <x:c r="J11" s="108" t="str">
        <x:v>弱电箱开启且Huawei设备尚在箱内的近景</x:v>
      </x:c>
      <x:c r="K11" s="108" t="str">
        <x:v>现状箱内有一件Huawei带天线网络设备、另一白色未识别组件、电源适配器、橙色网线和盘留线缆且设备线缆空间拥挤</x:v>
      </x:c>
      <x:c r="L11" s="108" t="str">
        <x:v>上述设备和线缆在弱电箱内存在且空间拥挤的现状</x:v>
      </x:c>
      <x:c r="M11" s="108" t="str">
        <x:v>白色组件身份、Huawei设备准确型号角色、端口映射、线路去向、剩余容量及最终网络拓扑</x:v>
      </x:c>
      <x:c r="N11" s="108" t="str">
        <x:v>verified_user_photo</x:v>
      </x:c>
      <x:c r="O11" s="108" t="str">
        <x:v>1.00</x:v>
      </x:c>
      <x:c r="P11" s="108" t="str">
        <x:v>yes</x:v>
      </x:c>
      <x:c r="Q11" s="108" t="str">
        <x:v>no</x:v>
      </x:c>
      <x:c r="R11" s="108" t="str"/>
      <x:c r="S11" s="108" t="str"/>
      <x:c r="T11" s="108" t="str"/>
      <x:c r="U11" s="108" t="str"/>
      <x:c r="V11" s="108" t="str">
        <x:v>elec-source-evidence.csv</x:v>
      </x:c>
      <x:c r="W11" s="108" t="str">
        <x:v>{"evidence_id":"E304-PHOTO-003","discipline":"ELEC","sheet_id":"E-304","decision_scope":"现状弱电箱内部设备与线缆","source_kind":"user_site_photo","source_document":"drawings/evidence/E304-entry-cabinet-weak-current-box-open.jpg","source_sha256":"3d01b1292d7620389e3920cfbd3420a3f0bb1fd77d754a0f59c48ec56dc4d384","source_locator":"弱电箱开启且Huawei设备尚在箱内的近景","evidence":"现状箱内有一件Huawei带天线网络设备、另一白色未识别组件、电源适配器、橙色网线和盘留线缆且设备线缆空间拥挤","proves":"上述设备和线缆在弱电箱内存在且空间拥挤的现状","does_not_prove":"白色组件身份、Huawei设备准确型号角色、端口映射、线路去向、剩余容量及最终网络拓扑","status":"verified_user_photo","confidence":"1.00","review_required":"yes","formal_ifc_write_allowed":"no","notes":"原始1280×960 JPEG按字节固化；不得仅凭商标或外观把设备认定为最终路由器、光猫或交换机"}</x:v>
      </x:c>
      <x:c r="X11" s="108" t="str">
        <x:v>原始1280×960 JPEG按字节固化；不得仅凭商标或外观把设备认定为最终路由器、光猫或交换机</x:v>
      </x:c>
    </x:row>
    <x:row r="12" ht="34" customHeight="1">
      <x:c r="A12" s="108" t="str">
        <x:v>E304-PHOTO-004</x:v>
      </x:c>
      <x:c r="B12" s="108" t="str">
        <x:v>ELEC</x:v>
      </x:c>
      <x:c r="C12" s="108" t="str">
        <x:v>E-304</x:v>
      </x:c>
      <x:c r="D12" s="108" t="str">
        <x:v>弱电箱无Huawei设备时的内部布线</x:v>
      </x:c>
      <x:c r="E12" s="108" t="str">
        <x:v>user_site_photo</x:v>
      </x:c>
      <x:c r="F12" s="108" t="str">
        <x:v>drawings/evidence/E304-entry-cabinet-weak-current-box-cabling.jpg</x:v>
      </x:c>
      <x:c r="G12" s="108" t="str"/>
      <x:c r="H12" s="108" t="str">
        <x:v>drawings/evidence/E304-entry-cabinet-weak-current-box-cabling.jpg</x:v>
      </x:c>
      <x:c r="I12" s="108" t="str">
        <x:v>b049f4e6232ae3603a066253b9c975503b691febf73d9802b863324670180909</x:v>
      </x:c>
      <x:c r="J12" s="108" t="str">
        <x:v>Huawei设备取出后的弱电箱全景</x:v>
      </x:c>
      <x:c r="K12" s="108" t="str">
        <x:v>弱电箱内保留电源、黑色穿线管、盘留的灰白及黄色线缆、橙色网线和一件白色未识别组件且箱下方已有线缆出箱条件</x:v>
      </x:c>
      <x:c r="L12" s="108" t="str">
        <x:v>箱内盘留线缆、电源、穿线管、未识别组件及线缆出箱条件的现状</x:v>
      </x:c>
      <x:c r="M12" s="108" t="str">
        <x:v>线缆类别与端点通断、白色组件身份、防火封堵状态和最终出线整理方案</x:v>
      </x:c>
      <x:c r="N12" s="108" t="str">
        <x:v>verified_user_photo</x:v>
      </x:c>
      <x:c r="O12" s="108" t="str">
        <x:v>1.00</x:v>
      </x:c>
      <x:c r="P12" s="108" t="str">
        <x:v>yes</x:v>
      </x:c>
      <x:c r="Q12" s="108" t="str">
        <x:v>no</x:v>
      </x:c>
      <x:c r="R12" s="108" t="str"/>
      <x:c r="S12" s="108" t="str"/>
      <x:c r="T12" s="108" t="str"/>
      <x:c r="U12" s="108" t="str"/>
      <x:c r="V12" s="108" t="str">
        <x:v>elec-source-evidence.csv</x:v>
      </x:c>
      <x:c r="W12" s="108" t="str">
        <x:v>{"evidence_id":"E304-PHOTO-004","discipline":"ELEC","sheet_id":"E-304","decision_scope":"弱电箱无Huawei设备时的内部布线","source_kind":"user_site_photo","source_document":"drawings/evidence/E304-entry-cabinet-weak-current-box-cabling.jpg","source_sha256":"b049f4e6232ae3603a066253b9c975503b691febf73d9802b863324670180909","source_locator":"Huawei设备取出后的弱电箱全景","evidence":"弱电箱内保留电源、黑色穿线管、盘留的灰白及黄色线缆、橙色网线和一件白色未识别组件且箱下方已有线缆出箱条件","proves":"箱内盘留线缆、电源、穿线管、未识别组件及线缆出箱条件的现状","does_not_prove":"线缆类别与端点通断、白色组件身份、防火封堵状态和最终出线整理方案","status":"verified_user_photo","confidence":"1.00","review_required":"yes","formal_ifc_write_allowed":"no","notes":"原始1280×960 JPEG按字节固化；盘留弯曲半径和线路标签须现场复核"}</x:v>
      </x:c>
      <x:c r="X12" s="108" t="str">
        <x:v>原始1280×960 JPEG按字节固化；盘留弯曲半径和线路标签须现场复核</x:v>
      </x:c>
    </x:row>
    <x:row r="13" ht="34" customHeight="1">
      <x:c r="A13" s="108" t="str">
        <x:v>E304-PHOTO-005</x:v>
      </x:c>
      <x:c r="B13" s="108" t="str">
        <x:v>ELEC</x:v>
      </x:c>
      <x:c r="C13" s="108" t="str">
        <x:v>E-304</x:v>
      </x:c>
      <x:c r="D13" s="108" t="str">
        <x:v>现有Huawei家庭网关与房间网线标签</x:v>
      </x:c>
      <x:c r="E13" s="108" t="str">
        <x:v>user_site_photo</x:v>
      </x:c>
      <x:c r="F13" s="108" t="str">
        <x:v>drawings/evidence/E304-entry-cabinet-existing-huawei-gateway.jpg</x:v>
      </x:c>
      <x:c r="G13" s="108" t="str"/>
      <x:c r="H13" s="108" t="str">
        <x:v>drawings/evidence/E304-entry-cabinet-existing-huawei-gateway.jpg</x:v>
      </x:c>
      <x:c r="I13" s="108" t="str">
        <x:v>24ef14dd6871b469a74ee167302d894214b0df30cc31eb4029df2a18f4d8a41b</x:v>
      </x:c>
      <x:c r="J13" s="108" t="str">
        <x:v>Huawei联通智家设备为拍摄而暂时拉出弱电箱的近景</x:v>
      </x:c>
      <x:c r="K13" s="108" t="str">
        <x:v>设备具外置天线并连接电源及三根带房间文字标签的橙色网线；照片用于读取设备外观和线缆标签</x:v>
      </x:c>
      <x:c r="L13" s="108" t="str">
        <x:v>设备外观、外置天线、电源连接及三根网线可见标签候选</x:v>
      </x:c>
      <x:c r="M13" s="108" t="str">
        <x:v>设备日常运行位置、准确型号、是否集成光猫或路由功能、标签与实际房间端点一致性、网线类别性能和最终设备复用决定</x:v>
      </x:c>
      <x:c r="N13" s="108" t="str">
        <x:v>verified_user_photo_label_candidates</x:v>
      </x:c>
      <x:c r="O13" s="108" t="str">
        <x:v>0.95</x:v>
      </x:c>
      <x:c r="P13" s="108" t="str">
        <x:v>yes</x:v>
      </x:c>
      <x:c r="Q13" s="108" t="str">
        <x:v>no</x:v>
      </x:c>
      <x:c r="R13" s="108" t="str"/>
      <x:c r="S13" s="108" t="str"/>
      <x:c r="T13" s="108" t="str"/>
      <x:c r="U13" s="108" t="str"/>
      <x:c r="V13" s="108" t="str">
        <x:v>elec-source-evidence.csv</x:v>
      </x:c>
      <x:c r="W13" s="108" t="str">
        <x:v>{"evidence_id":"E304-PHOTO-005","discipline":"ELEC","sheet_id":"E-304","decision_scope":"现有Huawei家庭网关与房间网线标签","source_kind":"user_site_photo","source_document":"drawings/evidence/E304-entry-cabinet-existing-huawei-gateway.jpg","source_sha256":"24ef14dd6871b469a74ee167302d894214b0df30cc31eb4029df2a18f4d8a41b","source_locator":"Huawei联通智家设备为拍摄而暂时拉出弱电箱的近景","evidence":"设备具外置天线并连接电源及三根带房间文字标签的橙色网线；照片用于读取设备外观和线缆标签","proves":"设备外观、外置天线、电源连接及三根网线可见标签候选","does_not_prove":"设备日常运行位置、准确型号、是否集成光猫或路由功能、标签与实际房间端点一致性、网线类别性能和最终设备复用决定","status":"verified_user_photo_label_candidates","confidence":"0.95","review_required":"yes","formal_ifc_write_allowed":"no","notes":"原始960×1280 JPEG按字节固化；可见标签候选为客厅、次卧、主卧，正式端口表须逐根通断测试后确认"}</x:v>
      </x:c>
      <x:c r="X13" s="108" t="str">
        <x:v>原始960×1280 JPEG按字节固化；可见标签候选为客厅、次卧、主卧，正式端口表须逐根通断测试后确认</x:v>
      </x:c>
    </x:row>
    <x:row r="14" ht="34" customHeight="1">
      <x:c r="A14" s="108" t="str">
        <x:v>E304-USER-002</x:v>
      </x:c>
      <x:c r="B14" s="108" t="str">
        <x:v>ELEC</x:v>
      </x:c>
      <x:c r="C14" s="108" t="str">
        <x:v>E-304</x:v>
      </x:c>
      <x:c r="D14" s="108" t="str">
        <x:v>现有Huawei设备日常运行位置</x:v>
      </x:c>
      <x:c r="E14" s="108" t="str">
        <x:v>user_confirmation</x:v>
      </x:c>
      <x:c r="F14" s="108" t="str">
        <x:v>Codex task 2026-08-11</x:v>
      </x:c>
      <x:c r="G14" s="108" t="str"/>
      <x:c r="H14" s="108" t="str">
        <x:v>Codex task 2026-08-11</x:v>
      </x:c>
      <x:c r="I14" s="108" t="str">
        <x:v>not_applicable_user_confirmation</x:v>
      </x:c>
      <x:c r="J14" s="108" t="str">
        <x:v>用户纠正“但实际是放弱电箱里运行的”</x:v>
      </x:c>
      <x:c r="K14" s="108" t="str">
        <x:v>现有Huawei联通智家设备日常放在金属弱电箱内部通电运行</x:v>
      </x:c>
      <x:c r="L14" s="108" t="str">
        <x:v>现状设备的实际运行位置</x:v>
      </x:c>
      <x:c r="M14" s="108" t="str">
        <x:v>最终网络设备是否复用现状位置以及该位置的散热射频检修信号覆盖和产品合规性</x:v>
      </x:c>
      <x:c r="N14" s="108" t="str">
        <x:v>confirmed_existing_condition</x:v>
      </x:c>
      <x:c r="O14" s="108" t="str">
        <x:v>1.00</x:v>
      </x:c>
      <x:c r="P14" s="108" t="str">
        <x:v>no</x:v>
      </x:c>
      <x:c r="Q14" s="108" t="str">
        <x:v>no</x:v>
      </x:c>
      <x:c r="R14" s="108" t="str"/>
      <x:c r="S14" s="108" t="str"/>
      <x:c r="T14" s="108" t="str"/>
      <x:c r="U14" s="108" t="str"/>
      <x:c r="V14" s="108" t="str">
        <x:v>elec-source-evidence.csv</x:v>
      </x:c>
      <x:c r="W14" s="108" t="str">
        <x:v>{"evidence_id":"E304-USER-002","discipline":"ELEC","sheet_id":"E-304","decision_scope":"现有Huawei设备日常运行位置","source_kind":"user_confirmation","source_document":"Codex task 2026-08-11","source_sha256":"not_applicable_user_confirmation","source_locator":"用户纠正“但实际是放弱电箱里运行的”","evidence":"现有Huawei联通智家设备日常放在金属弱电箱内部通电运行","proves":"现状设备的实际运行位置","does_not_prove":"最终网络设备是否复用现状位置以及该位置的散热射频检修信号覆盖和产品合规性","status":"confirmed_existing_condition","confidence":"1.00","review_required":"no","formal_ifc_write_allowed":"no","notes":"PHOTO-005仅为拍摄设备与端口标签而临时拉出箱体；不得把照片扩大为箱外运行证据"}</x:v>
      </x:c>
      <x:c r="X14" s="108" t="str">
        <x:v>PHOTO-005仅为拍摄设备与端口标签而临时拉出箱体；不得把照片扩大为箱外运行证据</x:v>
      </x:c>
    </x:row>
    <x:row r="15" ht="34" customHeight="1">
      <x:c r="A15" s="108" t="str">
        <x:v>APP-011-PHOTO-001</x:v>
      </x:c>
      <x:c r="B15" s="108" t="str">
        <x:v>ELEC</x:v>
      </x:c>
      <x:c r="C15" s="108" t="str">
        <x:v>E-303/S-701</x:v>
      </x:c>
      <x:c r="D15" s="108" t="str">
        <x:v>烤箱到货型号</x:v>
      </x:c>
      <x:c r="E15" s="108" t="str">
        <x:v>user_product_photo</x:v>
      </x:c>
      <x:c r="F15" s="108" t="str">
        <x:v>drawings/evidence/APP-011-siemens-HB754G2B1W-package-label.jpg</x:v>
      </x:c>
      <x:c r="G15" s="108" t="str"/>
      <x:c r="H15" s="108" t="str">
        <x:v>drawings/evidence/APP-011-siemens-HB754G2B1W-package-label.jpg</x:v>
      </x:c>
      <x:c r="I15" s="108" t="str">
        <x:v>85d7308bad518d6efada3d266edeeef43c7b0a874813457e78543d5d61932362</x:v>
      </x:c>
      <x:c r="J15" s="108" t="str">
        <x:v>包装铭牌正面</x:v>
      </x:c>
      <x:c r="K15" s="108" t="str">
        <x:v>包装标注 SIEMENS HB754G2B1W 且产地 Germany</x:v>
      </x:c>
      <x:c r="L15" s="108" t="str">
        <x:v>本项目已到货烤箱的厂家与型号</x:v>
      </x:c>
      <x:c r="M15" s="108" t="str">
        <x:v>包装内产品完好性、现场柜体尺寸、电源回路和安装完成状态</x:v>
      </x:c>
      <x:c r="N15" s="108" t="str">
        <x:v>verified_user_product_photo</x:v>
      </x:c>
      <x:c r="O15" s="108" t="str">
        <x:v>1.00</x:v>
      </x:c>
      <x:c r="P15" s="108" t="str">
        <x:v>no</x:v>
      </x:c>
      <x:c r="Q15" s="108" t="str">
        <x:v>no</x:v>
      </x:c>
      <x:c r="R15" s="108" t="str"/>
      <x:c r="S15" s="108" t="str"/>
      <x:c r="T15" s="108" t="str"/>
      <x:c r="U15" s="108" t="str"/>
      <x:c r="V15" s="108" t="str">
        <x:v>elec-source-evidence.csv</x:v>
      </x:c>
      <x:c r="W15" s="108" t="str">
        <x:v>{"evidence_id":"APP-011-PHOTO-001","discipline":"ELEC","sheet_id":"E-303/S-701","decision_scope":"烤箱到货型号","source_kind":"user_product_photo","source_document":"drawings/evidence/APP-011-siemens-HB754G2B1W-package-label.jpg","source_sha256":"85d7308bad518d6efada3d266edeeef43c7b0a874813457e78543d5d61932362","source_locator":"包装铭牌正面","evidence":"包装标注 SIEMENS HB754G2B1W 且产地 Germany","proves":"本项目已到货烤箱的厂家与型号","does_not_prove":"包装内产品完好性、现场柜体尺寸、电源回路和安装完成状态","status":"verified_user_product_photo","confidence":"1.00","review_required":"no","formal_ifc_write_allowed":"no","notes":"原始 JPEG 按字节固化；到货型号可冻结但安装接口仍须按官方资料和现场复核"}</x:v>
      </x:c>
      <x:c r="X15" s="108" t="str">
        <x:v>原始 JPEG 按字节固化；到货型号可冻结但安装接口仍须按官方资料和现场复核</x:v>
      </x:c>
    </x:row>
    <x:row r="16" ht="34" customHeight="1">
      <x:c r="A16" s="108" t="str">
        <x:v>APP-011-OFFICIAL-001</x:v>
      </x:c>
      <x:c r="B16" s="108" t="str">
        <x:v>ELEC</x:v>
      </x:c>
      <x:c r="C16" s="108" t="str">
        <x:v>E-303/S-701</x:v>
      </x:c>
      <x:c r="D16" s="108" t="str">
        <x:v>烤箱电气及柜体接口</x:v>
      </x:c>
      <x:c r="E16" s="108" t="str">
        <x:v>official_product_pdf</x:v>
      </x:c>
      <x:c r="F16" s="108" t="str">
        <x:v>drawings/evidence/APP-011-siemens-HB754G2B1W-specsheet.pdf</x:v>
      </x:c>
      <x:c r="G16" s="108" t="str"/>
      <x:c r="H16" s="108" t="str">
        <x:v>drawings/evidence/APP-011-siemens-HB754G2B1W-specsheet.pdf</x:v>
      </x:c>
      <x:c r="I16" s="108" t="str">
        <x:v>34a426197ae82d96c94d38637aaac91487f78431e1c0ee6b6633531b83aa1526</x:v>
      </x:c>
      <x:c r="J16" s="108" t="str">
        <x:v>西门子/BSH 官方 PDF https://media3.bsh-group.com/Documents/specsheet/zh-CN/HB754G2B1W.pdf；第 1 页电气参数；第 2–4 页机身及橱柜安装尺寸图</x:v>
      </x:c>
      <x:c r="K16" s="108" t="str">
        <x:v>最大功率 3400W；220V/50Hz；16A 插头；机身 595×594×548 mm；柜体开口宽 560–568 mm、高 585–595 mm、深≥550 mm；进风面积≥200 cm²</x:v>
      </x:c>
      <x:c r="L16" s="108" t="str">
        <x:v>烤箱配电负荷及橱柜开口和通风输入</x:v>
      </x:c>
      <x:c r="M16" s="108" t="str">
        <x:v>现场回路实测、柜体施工完成尺寸和最终安装验收</x:v>
      </x:c>
      <x:c r="N16" s="108" t="str">
        <x:v>verified_official_source</x:v>
      </x:c>
      <x:c r="O16" s="108" t="str">
        <x:v>1.00</x:v>
      </x:c>
      <x:c r="P16" s="108" t="str">
        <x:v>no</x:v>
      </x:c>
      <x:c r="Q16" s="108" t="str">
        <x:v>no</x:v>
      </x:c>
      <x:c r="R16" s="108" t="str"/>
      <x:c r="S16" s="108" t="str"/>
      <x:c r="T16" s="108" t="str"/>
      <x:c r="U16" s="108" t="str"/>
      <x:c r="V16" s="108" t="str">
        <x:v>elec-source-evidence.csv</x:v>
      </x:c>
      <x:c r="W16" s="108" t="str">
        <x:v>{"evidence_id":"APP-011-OFFICIAL-001","discipline":"ELEC","sheet_id":"E-303/S-701","decision_scope":"烤箱电气及柜体接口","source_kind":"official_product_pdf","source_document":"drawings/evidence/APP-011-siemens-HB754G2B1W-specsheet.pdf","source_sha256":"34a426197ae82d96c94d38637aaac91487f78431e1c0ee6b6633531b83aa1526","source_locator":"西门子/BSH 官方 PDF https://media3.bsh-group.com/Documents/specsheet/zh-CN/HB754G2B1W.pdf；第 1 页电气参数；第 2–4 页机身及橱柜安装尺寸图","evidence":"最大功率 3400W；220V/50Hz；16A 插头；机身 595×594×548 mm；柜体开口宽 560–568 mm、高 585–595 mm、深≥550 mm；进风面积≥200 cm²","proves":"烤箱配电负荷及橱柜开口和通风输入","does_not_prove":"现场回路实测、柜体施工完成尺寸和最终安装验收","status":"verified_official_source","confidence":"1.00","review_required":"no","formal_ifc_write_allowed":"no","notes":"官方 PDF 与到货包装型号一致；施工仍须按现场条件和产品安装说明复核"}</x:v>
      </x:c>
      <x:c r="X16" s="108" t="str">
        <x:v>官方 PDF 与到货包装型号一致；施工仍须按现场条件和产品安装说明复核</x:v>
      </x:c>
    </x:row>
    <x:row r="17" ht="34" customHeight="1">
      <x:c r="A17" s="108" t="str">
        <x:v>APP-012-PHOTO-001</x:v>
      </x:c>
      <x:c r="B17" s="108" t="str">
        <x:v>ELEC</x:v>
      </x:c>
      <x:c r="C17" s="108" t="str">
        <x:v>E-303/S-701</x:v>
      </x:c>
      <x:c r="D17" s="108" t="str">
        <x:v>燃气灶到货型号及铭牌</x:v>
      </x:c>
      <x:c r="E17" s="108" t="str">
        <x:v>user_product_photo</x:v>
      </x:c>
      <x:c r="F17" s="108" t="str">
        <x:v>drawings/evidence/APP-012-siemens-ER9EPA33MP-package-label-front.jpg</x:v>
      </x:c>
      <x:c r="G17" s="108" t="str"/>
      <x:c r="H17" s="108" t="str">
        <x:v>drawings/evidence/APP-012-siemens-ER9EPA33MP-package-label-front.jpg</x:v>
      </x:c>
      <x:c r="I17" s="108" t="str">
        <x:v>3e2d492962a979ba205e544ba1bf0b2cc4c4fd213d6ee96ba27ce98440769c5f</x:v>
      </x:c>
      <x:c r="J17" s="108" t="str">
        <x:v>包装铭牌正面</x:v>
      </x:c>
      <x:c r="K17" s="108" t="str">
        <x:v>包装标注 SIEMENS ER9EPA33MP/01、JZT-ER9EPA33MP、天然气 12T、2.0kPa、DC 1.5V 及左中右热负荷 5.2/2.0/5.2kW</x:v>
      </x:c>
      <x:c r="L17" s="108" t="str">
        <x:v>本项目已到货燃气灶的型号、气源类别、压力、电池点火和热负荷</x:v>
      </x:c>
      <x:c r="M17" s="108" t="str">
        <x:v>现场燃气表容量、管线走向、阀门位置、开孔完成尺寸和安装验收</x:v>
      </x:c>
      <x:c r="N17" s="108" t="str">
        <x:v>verified_user_product_photo</x:v>
      </x:c>
      <x:c r="O17" s="108" t="str">
        <x:v>1.00</x:v>
      </x:c>
      <x:c r="P17" s="108" t="str">
        <x:v>no</x:v>
      </x:c>
      <x:c r="Q17" s="108" t="str">
        <x:v>no</x:v>
      </x:c>
      <x:c r="R17" s="108" t="str"/>
      <x:c r="S17" s="108" t="str"/>
      <x:c r="T17" s="108" t="str"/>
      <x:c r="U17" s="108" t="str"/>
      <x:c r="V17" s="108" t="str">
        <x:v>elec-source-evidence.csv</x:v>
      </x:c>
      <x:c r="W17" s="108" t="str">
        <x:v>{"evidence_id":"APP-012-PHOTO-001","discipline":"ELEC","sheet_id":"E-303/S-701","decision_scope":"燃气灶到货型号及铭牌","source_kind":"user_product_photo","source_document":"drawings/evidence/APP-012-siemens-ER9EPA33MP-package-label-front.jpg","source_sha256":"3e2d492962a979ba205e544ba1bf0b2cc4c4fd213d6ee96ba27ce98440769c5f","source_locator":"包装铭牌正面","evidence":"包装标注 SIEMENS ER9EPA33MP/01、JZT-ER9EPA33MP、天然气 12T、2.0kPa、DC 1.5V 及左中右热负荷 5.2/2.0/5.2kW","proves":"本项目已到货燃气灶的型号、气源类别、压力、电池点火和热负荷","does_not_prove":"现场燃气表容量、管线走向、阀门位置、开孔完成尺寸和安装验收","status":"verified_user_product_photo","confidence":"1.00","review_required":"no","formal_ifc_write_allowed":"no","notes":"原始 JPEG 按字节固化；燃气热负荷不得写入额定电功率列"}</x:v>
      </x:c>
      <x:c r="X17" s="108" t="str">
        <x:v>原始 JPEG 按字节固化；燃气热负荷不得写入额定电功率列</x:v>
      </x:c>
    </x:row>
    <x:row r="18" ht="34" customHeight="1">
      <x:c r="A18" s="108" t="str">
        <x:v>APP-012-PHOTO-002</x:v>
      </x:c>
      <x:c r="B18" s="108" t="str">
        <x:v>ELEC</x:v>
      </x:c>
      <x:c r="C18" s="108" t="str">
        <x:v>E-303/S-701</x:v>
      </x:c>
      <x:c r="D18" s="108" t="str">
        <x:v>燃气灶到货批次侧标</x:v>
      </x:c>
      <x:c r="E18" s="108" t="str">
        <x:v>user_product_photo</x:v>
      </x:c>
      <x:c r="F18" s="108" t="str">
        <x:v>drawings/evidence/APP-012-siemens-ER9EPA33MP-package-label-side.jpg</x:v>
      </x:c>
      <x:c r="G18" s="108" t="str"/>
      <x:c r="H18" s="108" t="str">
        <x:v>drawings/evidence/APP-012-siemens-ER9EPA33MP-package-label-side.jpg</x:v>
      </x:c>
      <x:c r="I18" s="108" t="str">
        <x:v>fcaf47980d296ae516f3d98d40026b21095d4dc1eacf105b2f01c7fba265648d</x:v>
      </x:c>
      <x:c r="J18" s="108" t="str">
        <x:v>包装侧面铭牌</x:v>
      </x:c>
      <x:c r="K18" s="108" t="str">
        <x:v>侧标再次显示 ER9EPA33MP 并可见生产日期 2024-04-10</x:v>
      </x:c>
      <x:c r="L18" s="108" t="str">
        <x:v>到货包装型号与正面铭牌交叉一致</x:v>
      </x:c>
      <x:c r="M18" s="108" t="str">
        <x:v>产品序列号完整性、包装内产品状态和现场安装条件</x:v>
      </x:c>
      <x:c r="N18" s="108" t="str">
        <x:v>verified_user_product_photo</x:v>
      </x:c>
      <x:c r="O18" s="108" t="str">
        <x:v>1.00</x:v>
      </x:c>
      <x:c r="P18" s="108" t="str">
        <x:v>no</x:v>
      </x:c>
      <x:c r="Q18" s="108" t="str">
        <x:v>no</x:v>
      </x:c>
      <x:c r="R18" s="108" t="str"/>
      <x:c r="S18" s="108" t="str"/>
      <x:c r="T18" s="108" t="str"/>
      <x:c r="U18" s="108" t="str"/>
      <x:c r="V18" s="108" t="str">
        <x:v>elec-source-evidence.csv</x:v>
      </x:c>
      <x:c r="W18" s="108" t="str">
        <x:v>{"evidence_id":"APP-012-PHOTO-002","discipline":"ELEC","sheet_id":"E-303/S-701","decision_scope":"燃气灶到货批次侧标","source_kind":"user_product_photo","source_document":"drawings/evidence/APP-012-siemens-ER9EPA33MP-package-label-side.jpg","source_sha256":"fcaf47980d296ae516f3d98d40026b21095d4dc1eacf105b2f01c7fba265648d","source_locator":"包装侧面铭牌","evidence":"侧标再次显示 ER9EPA33MP 并可见生产日期 2024-04-10","proves":"到货包装型号与正面铭牌交叉一致","does_not_prove":"产品序列号完整性、包装内产品状态和现场安装条件","status":"verified_user_product_photo","confidence":"1.00","review_required":"no","formal_ifc_write_allowed":"no","notes":"原始 JPEG 按字节固化；日期只作为到货批次辅助证据"}</x:v>
      </x:c>
      <x:c r="X18" s="108" t="str">
        <x:v>原始 JPEG 按字节固化；日期只作为到货批次辅助证据</x:v>
      </x:c>
    </x:row>
    <x:row r="19" ht="34" customHeight="1">
      <x:c r="A19" s="108" t="str">
        <x:v>APP-012-OFFICIAL-001</x:v>
      </x:c>
      <x:c r="B19" s="108" t="str">
        <x:v>ELEC</x:v>
      </x:c>
      <x:c r="C19" s="108" t="str">
        <x:v>E-303/S-701</x:v>
      </x:c>
      <x:c r="D19" s="108" t="str">
        <x:v>燃气灶开孔通风及接驳</x:v>
      </x:c>
      <x:c r="E19" s="108" t="str">
        <x:v>official_product_pdf</x:v>
      </x:c>
      <x:c r="F19" s="108" t="str">
        <x:v>drawings/evidence/APP-012-siemens-ER9EPA33MP-installation.pdf</x:v>
      </x:c>
      <x:c r="G19" s="108" t="str"/>
      <x:c r="H19" s="108" t="str">
        <x:v>drawings/evidence/APP-012-siemens-ER9EPA33MP-installation.pdf</x:v>
      </x:c>
      <x:c r="I19" s="108" t="str">
        <x:v>41aee3b28b35f5005a2f7e31fbc36ffc28e3fe3a75367b463f31bc0b65d5a96e</x:v>
      </x:c>
      <x:c r="J19" s="108" t="str">
        <x:v>西门子/BSH 官方 PDF https://media3.bsh-group.cn/Documents/8001249607_B.pdf；第 4 页技术参数；第 11 页 14.2–14.8 安装与燃气连接</x:v>
      </x:c>
      <x:c r="K19" s="108" t="str">
        <x:v>外形 920×500×150 mm；开孔 880×455 mm、4×R15；橱柜通风口≥100 cm²；独立安装下方净空≥100 mm；下置电器时隔板至台面≥120 mm；燃气软管≤2 m 且阀门可达</x:v>
      </x:c>
      <x:c r="L19" s="108" t="str">
        <x:v>燃气灶台面开孔、柜体通风净空和燃气接驳设计输入</x:v>
      </x:c>
      <x:c r="M19" s="108" t="str">
        <x:v>现场燃气公司最终要求、橱柜实测、阀门与软管最终施工验收</x:v>
      </x:c>
      <x:c r="N19" s="108" t="str">
        <x:v>verified_official_source</x:v>
      </x:c>
      <x:c r="O19" s="108" t="str">
        <x:v>1.00</x:v>
      </x:c>
      <x:c r="P19" s="108" t="str">
        <x:v>yes</x:v>
      </x:c>
      <x:c r="Q19" s="108" t="str">
        <x:v>no</x:v>
      </x:c>
      <x:c r="R19" s="108" t="str"/>
      <x:c r="S19" s="108" t="str"/>
      <x:c r="T19" s="108" t="str"/>
      <x:c r="U19" s="108" t="str"/>
      <x:c r="V19" s="108" t="str">
        <x:v>elec-source-evidence.csv</x:v>
      </x:c>
      <x:c r="W19" s="108" t="str">
        <x:v>{"evidence_id":"APP-012-OFFICIAL-001","discipline":"ELEC","sheet_id":"E-303/S-701","decision_scope":"燃气灶开孔通风及接驳","source_kind":"official_product_pdf","source_document":"drawings/evidence/APP-012-siemens-ER9EPA33MP-installation.pdf","source_sha256":"41aee3b28b35f5005a2f7e31fbc36ffc28e3fe3a75367b463f31bc0b65d5a96e","source_locator":"西门子/BSH 官方 PDF https://media3.bsh-group.cn/Documents/8001249607_B.pdf；第 4 页技术参数；第 11 页 14.2–14.8 安装与燃气连接","evidence":"外形 920×500×150 mm；开孔 880×455 mm、4×R15；橱柜通风口≥100 cm²；独立安装下方净空≥100 mm；下置电器时隔板至台面≥120 mm；燃气软管≤2 m 且阀门可达","proves":"燃气灶台面开孔、柜体通风净空和燃气接驳设计输入","does_not_prove":"现场燃气公司最终要求、橱柜实测、阀门与软管最终施工验收","status":"verified_official_source","confidence":"1.00","review_required":"yes","formal_ifc_write_allowed":"no","notes":"官方 PDF 与到货包装型号一致；燃气接驳必须服从当地燃气公司和现场验收要求"}</x:v>
      </x:c>
      <x:c r="X19" s="108" t="str">
        <x:v>官方 PDF 与到货包装型号一致；燃气接驳必须服从当地燃气公司和现场验收要求</x:v>
      </x:c>
    </x:row>
    <x:row r="20" ht="34" customHeight="1">
      <x:c r="A20" s="108" t="str">
        <x:v>APP-013-PHOTO-001</x:v>
      </x:c>
      <x:c r="B20" s="108" t="str">
        <x:v>ELEC</x:v>
      </x:c>
      <x:c r="C20" s="108" t="str">
        <x:v>E-303/S-701</x:v>
      </x:c>
      <x:c r="D20" s="108" t="str">
        <x:v>油烟机到货型号及功率</x:v>
      </x:c>
      <x:c r="E20" s="108" t="str">
        <x:v>user_product_photo</x:v>
      </x:c>
      <x:c r="F20" s="108" t="str">
        <x:v>drawings/evidence/APP-013-siemens-LS33R6VB9W-package-label-front.jpg</x:v>
      </x:c>
      <x:c r="G20" s="108" t="str"/>
      <x:c r="H20" s="108" t="str">
        <x:v>drawings/evidence/APP-013-siemens-LS33R6VB9W-package-label-front.jpg</x:v>
      </x:c>
      <x:c r="I20" s="108" t="str">
        <x:v>fe22444cb2bfccbf65ce1ed5723ceab11b5345199061ea1af377664899702e94</x:v>
      </x:c>
      <x:c r="J20" s="108" t="str">
        <x:v>包装铭牌正面</x:v>
      </x:c>
      <x:c r="K20" s="108" t="str">
        <x:v>包装标注 SIEMENS LS33R6VB9W/01、CXW-380-LS33R6VB9W、额定输入 385W、包装尺寸 940×1000×615 mm</x:v>
      </x:c>
      <x:c r="L20" s="108" t="str">
        <x:v>本项目已到货油烟机的厂家、型号、额定输入功率和包装尺寸</x:v>
      </x:c>
      <x:c r="M20" s="108" t="str">
        <x:v>产品本体安装尺寸、烟管走向、止逆阀和吊顶检修条件</x:v>
      </x:c>
      <x:c r="N20" s="108" t="str">
        <x:v>verified_user_product_photo</x:v>
      </x:c>
      <x:c r="O20" s="108" t="str">
        <x:v>1.00</x:v>
      </x:c>
      <x:c r="P20" s="108" t="str">
        <x:v>no</x:v>
      </x:c>
      <x:c r="Q20" s="108" t="str">
        <x:v>no</x:v>
      </x:c>
      <x:c r="R20" s="108" t="str"/>
      <x:c r="S20" s="108" t="str"/>
      <x:c r="T20" s="108" t="str"/>
      <x:c r="U20" s="108" t="str"/>
      <x:c r="V20" s="108" t="str">
        <x:v>elec-source-evidence.csv</x:v>
      </x:c>
      <x:c r="W20" s="108" t="str">
        <x:v>{"evidence_id":"APP-013-PHOTO-001","discipline":"ELEC","sheet_id":"E-303/S-701","decision_scope":"油烟机到货型号及功率","source_kind":"user_product_photo","source_document":"drawings/evidence/APP-013-siemens-LS33R6VB9W-package-label-front.jpg","source_sha256":"fe22444cb2bfccbf65ce1ed5723ceab11b5345199061ea1af377664899702e94","source_locator":"包装铭牌正面","evidence":"包装标注 SIEMENS LS33R6VB9W/01、CXW-380-LS33R6VB9W、额定输入 385W、包装尺寸 940×1000×615 mm","proves":"本项目已到货油烟机的厂家、型号、额定输入功率和包装尺寸","does_not_prove":"产品本体安装尺寸、烟管走向、止逆阀和吊顶检修条件","status":"verified_user_product_photo","confidence":"1.00","review_required":"no","formal_ifc_write_allowed":"no","notes":"原始 JPEG 按字节固化；包装尺寸不得当作产品实体尺寸"}</x:v>
      </x:c>
      <x:c r="X20" s="108" t="str">
        <x:v>原始 JPEG 按字节固化；包装尺寸不得当作产品实体尺寸</x:v>
      </x:c>
    </x:row>
    <x:row r="21" ht="34" customHeight="1">
      <x:c r="A21" s="108" t="str">
        <x:v>APP-013-PHOTO-002</x:v>
      </x:c>
      <x:c r="B21" s="108" t="str">
        <x:v>ELEC</x:v>
      </x:c>
      <x:c r="C21" s="108" t="str">
        <x:v>E-303/S-701</x:v>
      </x:c>
      <x:c r="D21" s="108" t="str">
        <x:v>油烟机到货批次侧标</x:v>
      </x:c>
      <x:c r="E21" s="108" t="str">
        <x:v>user_product_photo</x:v>
      </x:c>
      <x:c r="F21" s="108" t="str">
        <x:v>drawings/evidence/APP-013-siemens-LS33R6VB9W-package-label-side.jpg</x:v>
      </x:c>
      <x:c r="G21" s="108" t="str"/>
      <x:c r="H21" s="108" t="str">
        <x:v>drawings/evidence/APP-013-siemens-LS33R6VB9W-package-label-side.jpg</x:v>
      </x:c>
      <x:c r="I21" s="108" t="str">
        <x:v>890e44f1c3007636637f8e481d5faf7c26acdb8aa3b79d7875e61a2852b53edb</x:v>
      </x:c>
      <x:c r="J21" s="108" t="str">
        <x:v>包装侧面铭牌</x:v>
      </x:c>
      <x:c r="K21" s="108" t="str">
        <x:v>侧标再次显示 LS33R6VB9W 且可见生产日期 2024-03-21</x:v>
      </x:c>
      <x:c r="L21" s="108" t="str">
        <x:v>到货包装型号与正面铭牌交叉一致</x:v>
      </x:c>
      <x:c r="M21" s="108" t="str">
        <x:v>产品序列号完整性、包装内产品状态和现场安装条件</x:v>
      </x:c>
      <x:c r="N21" s="108" t="str">
        <x:v>verified_user_product_photo</x:v>
      </x:c>
      <x:c r="O21" s="108" t="str">
        <x:v>1.00</x:v>
      </x:c>
      <x:c r="P21" s="108" t="str">
        <x:v>no</x:v>
      </x:c>
      <x:c r="Q21" s="108" t="str">
        <x:v>no</x:v>
      </x:c>
      <x:c r="R21" s="108" t="str"/>
      <x:c r="S21" s="108" t="str"/>
      <x:c r="T21" s="108" t="str"/>
      <x:c r="U21" s="108" t="str"/>
      <x:c r="V21" s="108" t="str">
        <x:v>elec-source-evidence.csv</x:v>
      </x:c>
      <x:c r="W21" s="108" t="str">
        <x:v>{"evidence_id":"APP-013-PHOTO-002","discipline":"ELEC","sheet_id":"E-303/S-701","decision_scope":"油烟机到货批次侧标","source_kind":"user_product_photo","source_document":"drawings/evidence/APP-013-siemens-LS33R6VB9W-package-label-side.jpg","source_sha256":"890e44f1c3007636637f8e481d5faf7c26acdb8aa3b79d7875e61a2852b53edb","source_locator":"包装侧面铭牌","evidence":"侧标再次显示 LS33R6VB9W 且可见生产日期 2024-03-21","proves":"到货包装型号与正面铭牌交叉一致","does_not_prove":"产品序列号完整性、包装内产品状态和现场安装条件","status":"verified_user_product_photo","confidence":"1.00","review_required":"no","formal_ifc_write_allowed":"no","notes":"原始 JPEG 按字节固化；日期只作为到货批次辅助证据"}</x:v>
      </x:c>
      <x:c r="X21" s="108" t="str">
        <x:v>原始 JPEG 按字节固化；日期只作为到货批次辅助证据</x:v>
      </x:c>
    </x:row>
    <x:row r="22" ht="34" customHeight="1">
      <x:c r="A22" s="108" t="str">
        <x:v>APP-013-OFFICIAL-001</x:v>
      </x:c>
      <x:c r="B22" s="108" t="str">
        <x:v>ELEC</x:v>
      </x:c>
      <x:c r="C22" s="108" t="str">
        <x:v>E-303/S-701</x:v>
      </x:c>
      <x:c r="D22" s="108" t="str">
        <x:v>油烟机配电排烟及检修接口</x:v>
      </x:c>
      <x:c r="E22" s="108" t="str">
        <x:v>official_product_pdf</x:v>
      </x:c>
      <x:c r="F22" s="108" t="str">
        <x:v>drawings/evidence/APP-013-siemens-LS33R6VB9W-installation.pdf</x:v>
      </x:c>
      <x:c r="G22" s="108" t="str"/>
      <x:c r="H22" s="108" t="str">
        <x:v>drawings/evidence/APP-013-siemens-LS33R6VB9W-installation.pdf</x:v>
      </x:c>
      <x:c r="I22" s="108" t="str">
        <x:v>c655a75042381c8b418e13ccccf484593b084c58286d263cd0db85215d3c5cab</x:v>
      </x:c>
      <x:c r="J22" s="108" t="str">
        <x:v>西门子/BSH 官方 PDF https://media3.bsh-group.cn/Documents/8001293270_A.pdf；第 4 页技术参数；第 9 页 11.3 机器与橱柜尺寸及排烟/电源/检修条件</x:v>
      </x:c>
      <x:c r="K22" s="108" t="str">
        <x:v>220V/50Hz；额定输入 385W；外形 895×345×873 mm；烟管及止逆阀内径≥160 mm；烟管宜≤3 m 且 1 弯；墙洞建议 Ø180 mm；吊顶圆孔 Ø190 mm；检修口建议 400×400 mm；与燃气灶承锅面净距≥650 mm</x:v>
      </x:c>
      <x:c r="L22" s="108" t="str">
        <x:v>油烟机配电负荷、排烟管径和安装检修设计输入</x:v>
      </x:c>
      <x:c r="M22" s="108" t="str">
        <x:v>现场烟道可用性、吊顶完成尺寸、止逆阀安装和系统调试验收</x:v>
      </x:c>
      <x:c r="N22" s="108" t="str">
        <x:v>verified_official_source</x:v>
      </x:c>
      <x:c r="O22" s="108" t="str">
        <x:v>1.00</x:v>
      </x:c>
      <x:c r="P22" s="108" t="str">
        <x:v>yes</x:v>
      </x:c>
      <x:c r="Q22" s="108" t="str">
        <x:v>no</x:v>
      </x:c>
      <x:c r="R22" s="108" t="str"/>
      <x:c r="S22" s="108" t="str"/>
      <x:c r="T22" s="108" t="str"/>
      <x:c r="U22" s="108" t="str"/>
      <x:c r="V22" s="108" t="str">
        <x:v>elec-source-evidence.csv</x:v>
      </x:c>
      <x:c r="W22" s="108" t="str">
        <x:v>{"evidence_id":"APP-013-OFFICIAL-001","discipline":"ELEC","sheet_id":"E-303/S-701","decision_scope":"油烟机配电排烟及检修接口","source_kind":"official_product_pdf","source_document":"drawings/evidence/APP-013-siemens-LS33R6VB9W-installation.pdf","source_sha256":"c655a75042381c8b418e13ccccf484593b084c58286d263cd0db85215d3c5cab","source_locator":"西门子/BSH 官方 PDF https://media3.bsh-group.cn/Documents/8001293270_A.pdf；第 4 页技术参数；第 9 页 11.3 机器与橱柜尺寸及排烟/电源/检修条件","evidence":"220V/50Hz；额定输入 385W；外形 895×345×873 mm；烟管及止逆阀内径≥160 mm；烟管宜≤3 m 且 1 弯；墙洞建议 Ø180 mm；吊顶圆孔 Ø190 mm；检修口建议 400×400 mm；与燃气灶承锅面净距≥650 mm","proves":"油烟机配电负荷、排烟管径和安装检修设计输入","does_not_prove":"现场烟道可用性、吊顶完成尺寸、止逆阀安装和系统调试验收","status":"verified_official_source","confidence":"1.00","review_required":"yes","formal_ifc_write_allowed":"no","notes":"官方 PDF 与到货包装型号一致；最终排烟路径和吊顶检修口须结合现场复核"}</x:v>
      </x:c>
      <x:c r="X22" s="108" t="str">
        <x:v>官方 PDF 与到货包装型号一致；最终排烟路径和吊顶检修口须结合现场复核</x:v>
      </x:c>
    </x:row>
    <x:row r="23" ht="34" customHeight="1">
      <x:c r="A23" s="108" t="str">
        <x:v>A106-FIRE-OFFICIAL-001</x:v>
      </x:c>
      <x:c r="B23" s="108" t="str">
        <x:v>ELEC</x:v>
      </x:c>
      <x:c r="C23" s="108" t="str">
        <x:v>A-106</x:v>
      </x:c>
      <x:c r="D23" s="108" t="str">
        <x:v>候选 JTW-ZD-A20 产品类型</x:v>
      </x:c>
      <x:c r="E23" s="108" t="str">
        <x:v>official_product_web</x:v>
      </x:c>
      <x:c r="F23" s="108" t="str">
        <x:v>https://www.sz-sanjiang.com/productdetail/10.html</x:v>
      </x:c>
      <x:c r="G23" s="108" t="str">
        <x:v>https://www.sz-sanjiang.com/productdetail/10.html</x:v>
      </x:c>
      <x:c r="H23" s="108" t="str"/>
      <x:c r="I23" s="108" t="str">
        <x:v>not_applicable_live_official_web</x:v>
      </x:c>
      <x:c r="J23" s="108" t="str">
        <x:v>高新投三江官方产品页；2026-08-11 核对；产品型号和技术参数段</x:v>
      </x:c>
      <x:c r="K23" s="108" t="str">
        <x:v>JTW-ZD-A20 为点型感温火灾探测器；总线 24V；二线制；天花板吸顶安装</x:v>
      </x:c>
      <x:c r="L23" s="108" t="str">
        <x:v>候选 A20 属于感温探测器产品线</x:v>
      </x:c>
      <x:c r="M23" s="108" t="str">
        <x:v>用户文本中 JTW-ZD-920A20 是否存在或是否为复合式产品</x:v>
      </x:c>
      <x:c r="N23" s="108" t="str">
        <x:v>verified_official_source_negative_match</x:v>
      </x:c>
      <x:c r="O23" s="108" t="str">
        <x:v>1.00</x:v>
      </x:c>
      <x:c r="P23" s="108" t="str">
        <x:v>yes</x:v>
      </x:c>
      <x:c r="Q23" s="108" t="str">
        <x:v>no</x:v>
      </x:c>
      <x:c r="R23" s="108" t="str"/>
      <x:c r="S23" s="108" t="str"/>
      <x:c r="T23" s="108" t="str"/>
      <x:c r="U23" s="108" t="str"/>
      <x:c r="V23" s="108" t="str">
        <x:v>elec-source-evidence.csv</x:v>
      </x:c>
      <x:c r="W23" s="108" t="str">
        <x:v>{"evidence_id":"A106-FIRE-OFFICIAL-001","discipline":"ELEC","sheet_id":"A-106","decision_scope":"候选 JTW-ZD-A20 产品类型","source_kind":"official_product_web","source_document":"https://www.sz-sanjiang.com/productdetail/10.html","source_sha256":"not_applicable_live_official_web","source_locator":"高新投三江官方产品页；2026-08-11 核对；产品型号和技术参数段","evidence":"JTW-ZD-A20 为点型感温火灾探测器；总线 24V；二线制；天花板吸顶安装","proves":"候选 A20 属于感温探测器产品线","does_not_prove":"用户文本中 JTW-ZD-920A20 是否存在或是否为复合式产品","status":"verified_official_source_negative_match","confidence":"1.00","review_required":"yes","formal_ifc_write_allowed":"no","notes":"只用于阻止型号拼接被写成已定产品；不据此选定 A20"}</x:v>
      </x:c>
      <x:c r="X23" s="108" t="str">
        <x:v>只用于阻止型号拼接被写成已定产品；不据此选定 A20</x:v>
      </x:c>
    </x:row>
    <x:row r="24" ht="34" customHeight="1">
      <x:c r="A24" s="108" t="str">
        <x:v>A106-FIRE-OFFICIAL-002</x:v>
      </x:c>
      <x:c r="B24" s="108" t="str">
        <x:v>ELEC</x:v>
      </x:c>
      <x:c r="C24" s="108" t="str">
        <x:v>A-106</x:v>
      </x:c>
      <x:c r="D24" s="108" t="str">
        <x:v>候选 JTW-ZD-920E 产品类型</x:v>
      </x:c>
      <x:c r="E24" s="108" t="str">
        <x:v>official_product_pdf</x:v>
      </x:c>
      <x:c r="F24" s="108" t="str">
        <x:v>drawings/evidence/A106-sanjiang-JTW-ZD-920E-official-manual.pdf</x:v>
      </x:c>
      <x:c r="G24" s="108" t="str"/>
      <x:c r="H24" s="108" t="str">
        <x:v>drawings/evidence/A106-sanjiang-JTW-ZD-920E-official-manual.pdf</x:v>
      </x:c>
      <x:c r="I24" s="108" t="str">
        <x:v>a69f5d5d46bc3ed9e726efa45c934e912bcfded5d16fd7135e6047003545ea95</x:v>
      </x:c>
      <x:c r="J24" s="108" t="str">
        <x:v>高新投三江官方英文下载 https://sanjiang-security.com/userfiles/files/2020/10/10/2020101013585255.pdf；第 1–2 页</x:v>
      </x:c>
      <x:c r="K24" s="108" t="str">
        <x:v>JTW-ZD-920E 为点型感温火灾探测器；非极性二总线 24V；配 DZ-910 底座；探测器Φ100×56 mm</x:v>
      </x:c>
      <x:c r="L24" s="108" t="str">
        <x:v>候选 920E 属于感温探测器产品线</x:v>
      </x:c>
      <x:c r="M24" s="108" t="str">
        <x:v>用户文本中 JTW-ZD-920A20 的精确型号、当前国内认证、与现有系统兼容性或复合式身份</x:v>
      </x:c>
      <x:c r="N24" s="108" t="str">
        <x:v>verified_official_source_negative_match</x:v>
      </x:c>
      <x:c r="O24" s="108" t="str">
        <x:v>1.00</x:v>
      </x:c>
      <x:c r="P24" s="108" t="str">
        <x:v>yes</x:v>
      </x:c>
      <x:c r="Q24" s="108" t="str">
        <x:v>no</x:v>
      </x:c>
      <x:c r="R24" s="108" t="str"/>
      <x:c r="S24" s="108" t="str"/>
      <x:c r="T24" s="108" t="str"/>
      <x:c r="U24" s="108" t="str"/>
      <x:c r="V24" s="108" t="str">
        <x:v>elec-source-evidence.csv</x:v>
      </x:c>
      <x:c r="W24" s="108" t="str">
        <x:v>{"evidence_id":"A106-FIRE-OFFICIAL-002","discipline":"ELEC","sheet_id":"A-106","decision_scope":"候选 JTW-ZD-920E 产品类型","source_kind":"official_product_pdf","source_document":"drawings/evidence/A106-sanjiang-JTW-ZD-920E-official-manual.pdf","source_sha256":"a69f5d5d46bc3ed9e726efa45c934e912bcfded5d16fd7135e6047003545ea95","source_locator":"高新投三江官方英文下载 https://sanjiang-security.com/userfiles/files/2020/10/10/2020101013585255.pdf；第 1–2 页","evidence":"JTW-ZD-920E 为点型感温火灾探测器；非极性二总线 24V；配 DZ-910 底座；探测器Φ100×56 mm","proves":"候选 920E 属于感温探测器产品线","does_not_prove":"用户文本中 JTW-ZD-920A20 的精确型号、当前国内认证、与现有系统兼容性或复合式身份","status":"verified_official_source_negative_match","confidence":"1.00","review_required":"yes","formal_ifc_write_allowed":"no","notes":"尺寸仅属 920E 说明书；不得写入未选定的正式 IFC 产品包络"}</x:v>
      </x:c>
      <x:c r="X24" s="108" t="str">
        <x:v>尺寸仅属 920E 说明书；不得写入未选定的正式 IFC 产品包络</x:v>
      </x:c>
    </x:row>
    <x:row r="25" ht="34" customHeight="1">
      <x:c r="A25" s="108" t="str">
        <x:v>A106-FIRE-OFFICIAL-003</x:v>
      </x:c>
      <x:c r="B25" s="108" t="str">
        <x:v>ELEC</x:v>
      </x:c>
      <x:c r="C25" s="108" t="str">
        <x:v>A-106</x:v>
      </x:c>
      <x:c r="D25" s="108" t="str">
        <x:v>高新投三江复合式对照型号</x:v>
      </x:c>
      <x:c r="E25" s="108" t="str">
        <x:v>official_product_web</x:v>
      </x:c>
      <x:c r="F25" s="108" t="str">
        <x:v>https://www.sz-sanjiang.com/productdetail/zzzzzzzzzzzzzz.html</x:v>
      </x:c>
      <x:c r="G25" s="108" t="str">
        <x:v>https://www.sz-sanjiang.com/productdetail/zzzzzzzzzzzzzz.html</x:v>
      </x:c>
      <x:c r="H25" s="108" t="str"/>
      <x:c r="I25" s="108" t="str">
        <x:v>not_applicable_live_official_web</x:v>
      </x:c>
      <x:c r="J25" s="108" t="str">
        <x:v>高新投三江官方产品页；2026-08-11 核对；产品型号和技术参数段</x:v>
      </x:c>
      <x:c r="K25" s="108" t="str">
        <x:v>JTF-GDM-936 才是厂家页面明确标称的点型复合式感烟感温火灾探测器</x:v>
      </x:c>
      <x:c r="L25" s="108" t="str">
        <x:v>厂家对复合式感烟感温产品使用独立型号</x:v>
      </x:c>
      <x:c r="M25" s="108" t="str">
        <x:v>本项目应改选 JTF-GDM-936 或其当前产品、是否适用厨房以及与消防系统兼容性</x:v>
      </x:c>
      <x:c r="N25" s="108" t="str">
        <x:v>verified_official_source_comparison_only</x:v>
      </x:c>
      <x:c r="O25" s="108" t="str">
        <x:v>1.00</x:v>
      </x:c>
      <x:c r="P25" s="108" t="str">
        <x:v>yes</x:v>
      </x:c>
      <x:c r="Q25" s="108" t="str">
        <x:v>no</x:v>
      </x:c>
      <x:c r="R25" s="108" t="str"/>
      <x:c r="S25" s="108" t="str"/>
      <x:c r="T25" s="108" t="str"/>
      <x:c r="U25" s="108" t="str"/>
      <x:c r="V25" s="108" t="str">
        <x:v>elec-source-evidence.csv</x:v>
      </x:c>
      <x:c r="W25" s="108" t="str">
        <x:v>{"evidence_id":"A106-FIRE-OFFICIAL-003","discipline":"ELEC","sheet_id":"A-106","decision_scope":"高新投三江复合式对照型号","source_kind":"official_product_web","source_document":"https://www.sz-sanjiang.com/productdetail/zzzzzzzzzzzzzz.html","source_sha256":"not_applicable_live_official_web","source_locator":"高新投三江官方产品页；2026-08-11 核对；产品型号和技术参数段","evidence":"JTF-GDM-936 才是厂家页面明确标称的点型复合式感烟感温火灾探测器","proves":"厂家对复合式感烟感温产品使用独立型号","does_not_prove":"本项目应改选 JTF-GDM-936 或其当前产品、是否适用厨房以及与消防系统兼容性","status":"verified_official_source_comparison_only","confidence":"1.00","review_required":"yes","formal_ifc_write_allowed":"no","notes":"只作型号语义对照；不得自动用 JTF-GDM-936 替换用户候选"}</x:v>
      </x:c>
      <x:c r="X25" s="108" t="str">
        <x:v>只作型号语义对照；不得自动用 JTF-GDM-936 替换用户候选</x:v>
      </x:c>
    </x:row>
    <x:row r="26" ht="34" customHeight="1">
      <x:c r="A26" s="108" t="str">
        <x:v>A106-GAS-OFFICIAL-001</x:v>
      </x:c>
      <x:c r="B26" s="108" t="str">
        <x:v>ELEC</x:v>
      </x:c>
      <x:c r="C26" s="108" t="str">
        <x:v>A-106</x:v>
      </x:c>
      <x:c r="D26" s="108" t="str">
        <x:v>JT-GS838 候选系列</x:v>
      </x:c>
      <x:c r="E26" s="108" t="str">
        <x:v>official_product_web</x:v>
      </x:c>
      <x:c r="F26" s="108" t="str">
        <x:v>https://www.china-siter.cn/products_detail/27.html</x:v>
      </x:c>
      <x:c r="G26" s="108" t="str">
        <x:v>https://www.china-siter.cn/products_detail/27.html</x:v>
      </x:c>
      <x:c r="H26" s="108" t="str"/>
      <x:c r="I26" s="108" t="str">
        <x:v>not_applicable_live_official_web</x:v>
      </x:c>
      <x:c r="J26" s="108" t="str">
        <x:v>赛特威尔官方产品页；2026-08-11 核对；产品描述与技术参数表</x:v>
      </x:c>
      <x:c r="K26" s="108" t="str">
        <x:v>JT-GS838 系列为 AC 220V/50Hz 家用甲烷可燃气体探测器；Cat.1/NB-IoT；电磁阀输出；墙/顶安装；80×120×36 mm</x:v>
      </x:c>
      <x:c r="L26" s="108" t="str">
        <x:v>用户候选属于厂家 JT-GS838 系列名称范围</x:v>
      </x:c>
      <x:c r="M26" s="108" t="str">
        <x:v>精确后缀 C-NBAC-H05、当前型式认证/证书、当地燃气公司允许型号、移动安装条件或施工定位</x:v>
      </x:c>
      <x:c r="N26" s="108" t="str">
        <x:v>verified_official_family_only</x:v>
      </x:c>
      <x:c r="O26" s="108" t="str">
        <x:v>0.90</x:v>
      </x:c>
      <x:c r="P26" s="108" t="str">
        <x:v>yes</x:v>
      </x:c>
      <x:c r="Q26" s="108" t="str">
        <x:v>no</x:v>
      </x:c>
      <x:c r="R26" s="108" t="str"/>
      <x:c r="S26" s="108" t="str"/>
      <x:c r="T26" s="108" t="str"/>
      <x:c r="U26" s="108" t="str"/>
      <x:c r="V26" s="108" t="str">
        <x:v>elec-source-evidence.csv</x:v>
      </x:c>
      <x:c r="W26" s="108" t="str">
        <x:v>{"evidence_id":"A106-GAS-OFFICIAL-001","discipline":"ELEC","sheet_id":"A-106","decision_scope":"JT-GS838 候选系列","source_kind":"official_product_web","source_document":"https://www.china-siter.cn/products_detail/27.html","source_sha256":"not_applicable_live_official_web","source_locator":"赛特威尔官方产品页；2026-08-11 核对；产品描述与技术参数表","evidence":"JT-GS838 系列为 AC 220V/50Hz 家用甲烷可燃气体探测器；Cat.1/NB-IoT；电磁阀输出；墙/顶安装；80×120×36 mm","proves":"用户候选属于厂家 JT-GS838 系列名称范围","does_not_prove":"精确后缀 C-NBAC-H05、当前型式认证/证书、当地燃气公司允许型号、移动安装条件或施工定位","status":"verified_official_family_only","confidence":"0.90","review_required":"yes","formal_ifc_write_allowed":"no","notes":"系列页不等于精确 SKU 说明书；相关开孔、供电、通信和安装距离仍保持未关闭"}</x:v>
      </x:c>
      <x:c r="X26" s="108" t="str">
        <x:v>系列页不等于精确 SKU 说明书；相关开孔、供电、通信和安装距离仍保持未关闭</x:v>
      </x:c>
    </x:row>
    <x:row r="27" ht="34" customHeight="1">
      <x:c r="A27" s="108" t="str">
        <x:v>RCP1-HVAC-IFACE-001</x:v>
      </x:c>
      <x:c r="B27" s="108" t="str">
        <x:v>HVAC/PLUM</x:v>
      </x:c>
      <x:c r="C27" s="108" t="str">
        <x:v>RCP-1/M-401</x:v>
      </x:c>
      <x:c r="D27" s="108" t="str">
        <x:v>A02; A03 厂家接口</x:v>
      </x:c>
      <x:c r="E27" s="108" t="str">
        <x:v>official_product_pdf</x:v>
      </x:c>
      <x:c r="F27" s="108" t="str">
        <x:v>P02010Q</x:v>
      </x:c>
      <x:c r="G27" s="108" t="str">
        <x:v>https://www.hisensehitachi.com/upload/accessory/20236/p1h2esc855pnidai1v7k10ha17rp4.pdf</x:v>
      </x:c>
      <x:c r="H27" s="108" t="str">
        <x:v>tmp/pdfs/hitachi-p02010q/P02010Q.pdf</x:v>
      </x:c>
      <x:c r="I27" s="108" t="str">
        <x:v>1ccd373984fd3ab58f0f48c93d2b9be39895e30c0022ed2d288c05540342e678</x:v>
      </x:c>
      <x:c r="J27" s="108" t="str">
        <x:v>3; 5; 6</x:v>
      </x:c>
      <x:c r="K27" s="108" t="str">
        <x:v>型号在封面范围内；第3页给出机体/吊装尺寸；第5页给出接管侧与18–50容量段气管φ12.7 mm、液管φ6.35 mm；第6页给出外径32 mm PVC排水与1/25–1/100坡度</x:v>
      </x:c>
      <x:c r="L27" s="108" t="str">
        <x:v>设备族、机体尺寸及已列明的冷媒/排水接口条件</x:v>
      </x:c>
      <x:c r="M27" s="108" t="str">
        <x:v>设备局部+X端面只作综合服务路线的接管侧候选；不得把端面中心当作三个独立厂家端口</x:v>
      </x:c>
      <x:c r="N27" s="108" t="str">
        <x:v>official_model_family_match_human_port_coordinates_pending</x:v>
      </x:c>
      <x:c r="O27" s="108" t="str">
        <x:v>0.90</x:v>
      </x:c>
      <x:c r="P27" s="108" t="str">
        <x:v>yes</x:v>
      </x:c>
      <x:c r="Q27" s="108" t="str">
        <x:v>no</x:v>
      </x:c>
      <x:c r="R27" s="108" t="str">
        <x:v>日立/海信日立</x:v>
      </x:c>
      <x:c r="S27" s="108" t="str">
        <x:v>RPIZ-22FSLN5QDF/P 700x447x192</x:v>
      </x:c>
      <x:c r="T27" s="108" t="str"/>
      <x:c r="U27" s="108" t="str"/>
      <x:c r="V27" s="108" t="str">
        <x:v>rcp1-hvac-equipment-interface-evidence.csv</x:v>
      </x:c>
      <x:c r="W27" s="108" t="str">
        <x:v>{"evidence_id":"RCP1-HVAC-IFACE-001","equipment_ids":"A02; A03","equipment_global_ids":"1QBdVekDnBsOleyo9PM6rT; 06GpMzzWj1XQobAhD35cgU","ifc_type_global_id":"10_Arew0nAGOoYjFDTyzcn","ifc_type_name":"AC700F","ifc_model_text":"RPIZ-22FSLN5QDF/P 700x447x192","nominal_body_width_mm":"700","nominal_body_depth_mm":"447","nominal_body_height_mm":"192","capacity_group":"18-50","gas_pipe_od_mm":"12.7","liquid_pipe_od_mm":"6.35","drain_pipe_od_mm":"32","drain_slope_min":"1/100","drain_slope_max":"1/25","connection_side_basis":"equipment_local_positive_x_existing_connector_geometry","port_coordinate_status":"diagram_available_variant_selection_pending","source_document":"P02010Q","source_url":"https://www.hisensehitachi.com/upload/accessory/20236/p1h2esc855pnidai1v7k10ha17rp4.pdf","source_sha256":"1ccd373984fd3ab58f0f48c93d2b9be39895e30c0022ed2d288c05540342e678","pdf_page":"3; 5; 6","evidence":"型号在封面范围内；第3页给出机体/吊装尺寸；第5页给出接管侧与18–50容量段气管φ12.7 mm、液管φ6.35 mm；第6页给出外径32 mm PVC排水与1/25–1/100坡度","status":"official_model_family_match_human_port_coordinates_pending","confidence":"0.90","review_required":"yes","formal_ifc_write_allowed":"no","notes":"设备局部+X端面只作综合服务路线的接管侧候选；不得把端面中心当作三个独立厂家端口"}</x:v>
      </x:c>
      <x:c r="X27" s="108" t="str">
        <x:v>设备局部+X端面只作综合服务路线的接管侧候选；不得把端面中心当作三个独立厂家端口</x:v>
      </x:c>
    </x:row>
    <x:row r="28" ht="34" customHeight="1">
      <x:c r="A28" s="108" t="str">
        <x:v>RCP1-HVAC-IFACE-002</x:v>
      </x:c>
      <x:c r="B28" s="108" t="str">
        <x:v>HVAC/PLUM</x:v>
      </x:c>
      <x:c r="C28" s="108" t="str">
        <x:v>RCP-1/M-401</x:v>
      </x:c>
      <x:c r="D28" s="108" t="str">
        <x:v>A01; A04 厂家接口</x:v>
      </x:c>
      <x:c r="E28" s="108" t="str">
        <x:v>official_product_pdf</x:v>
      </x:c>
      <x:c r="F28" s="108" t="str">
        <x:v>P02010Q</x:v>
      </x:c>
      <x:c r="G28" s="108" t="str">
        <x:v>https://www.hisensehitachi.com/upload/accessory/20236/p1h2esc855pnidai1v7k10ha17rp4.pdf</x:v>
      </x:c>
      <x:c r="H28" s="108" t="str">
        <x:v>tmp/pdfs/hitachi-p02010q/P02010Q.pdf</x:v>
      </x:c>
      <x:c r="I28" s="108" t="str">
        <x:v>1ccd373984fd3ab58f0f48c93d2b9be39895e30c0022ed2d288c05540342e678</x:v>
      </x:c>
      <x:c r="J28" s="108" t="str">
        <x:v>3; 5; 6</x:v>
      </x:c>
      <x:c r="K28" s="108" t="str">
        <x:v>型号在封面范围内；接管侧、18–50容量段冷媒管径及排水要求可作后续接口深化依据</x:v>
      </x:c>
      <x:c r="L28" s="108" t="str">
        <x:v>设备族、机体尺寸及已列明的冷媒/排水接口条件</x:v>
      </x:c>
      <x:c r="M28" s="108" t="str">
        <x:v>当前批次未生成A01/A04路线，不自动复制A02/A03控制点</x:v>
      </x:c>
      <x:c r="N28" s="108" t="str">
        <x:v>official_model_family_match_not_yet_applied_to_routes</x:v>
      </x:c>
      <x:c r="O28" s="108" t="str">
        <x:v>0.90</x:v>
      </x:c>
      <x:c r="P28" s="108" t="str">
        <x:v>yes</x:v>
      </x:c>
      <x:c r="Q28" s="108" t="str">
        <x:v>no</x:v>
      </x:c>
      <x:c r="R28" s="108" t="str">
        <x:v>日立/海信日立</x:v>
      </x:c>
      <x:c r="S28" s="108" t="str">
        <x:v>RPIZ-22FSLN5QD/P 700x447x192</x:v>
      </x:c>
      <x:c r="T28" s="108" t="str"/>
      <x:c r="U28" s="108" t="str"/>
      <x:c r="V28" s="108" t="str">
        <x:v>rcp1-hvac-equipment-interface-evidence.csv</x:v>
      </x:c>
      <x:c r="W28" s="108" t="str">
        <x:v>{"evidence_id":"RCP1-HVAC-IFACE-002","equipment_ids":"A01; A04","equipment_global_ids":"33chLv3TzEOhKalIJJAPNF; 1PUCikoaP5fgiYt8sJd8$6","ifc_type_global_id":"2dvNw761v4cgkv5QvrQtre","ifc_type_name":"AC700","ifc_model_text":"RPIZ-22FSLN5QD/P 700x447x192","nominal_body_width_mm":"700","nominal_body_depth_mm":"447","nominal_body_height_mm":"192","capacity_group":"18-50","gas_pipe_od_mm":"12.7","liquid_pipe_od_mm":"6.35","drain_pipe_od_mm":"32","drain_slope_min":"1/100","drain_slope_max":"1/25","connection_side_basis":"equipment_local_positive_x_existing_connector_geometry","port_coordinate_status":"diagram_available_variant_selection_pending","source_document":"P02010Q","source_url":"https://www.hisensehitachi.com/upload/accessory/20236/p1h2esc855pnidai1v7k10ha17rp4.pdf","source_sha256":"1ccd373984fd3ab58f0f48c93d2b9be39895e30c0022ed2d288c05540342e678","pdf_page":"3; 5; 6","evidence":"型号在封面范围内；接管侧、18–50容量段冷媒管径及排水要求可作后续接口深化依据","status":"official_model_family_match_not_yet_applied_to_routes","confidence":"0.90","review_required":"yes","formal_ifc_write_allowed":"no","notes":"当前批次未生成A01/A04路线，不自动复制A02/A03控制点"}</x:v>
      </x:c>
      <x:c r="X28" s="108" t="str">
        <x:v>当前批次未生成A01/A04路线，不自动复制A02/A03控制点</x:v>
      </x:c>
    </x:row>
    <x:row r="29" ht="34" customHeight="1">
      <x:c r="A29" s="108" t="str">
        <x:v>RCP1-HVAC-IFACE-003</x:v>
      </x:c>
      <x:c r="B29" s="108" t="str">
        <x:v>HVAC/PLUM</x:v>
      </x:c>
      <x:c r="C29" s="108" t="str">
        <x:v>RCP-1/M-401</x:v>
      </x:c>
      <x:c r="D29" s="108" t="str">
        <x:v>A05 厂家接口</x:v>
      </x:c>
      <x:c r="E29" s="108" t="str">
        <x:v>official_product_pdf</x:v>
      </x:c>
      <x:c r="F29" s="108" t="str">
        <x:v>P01530Q</x:v>
      </x:c>
      <x:c r="G29" s="108" t="str">
        <x:v>https://www.hisensehitachi.com/upload/accessory/202527/P01530Q.pdf</x:v>
      </x:c>
      <x:c r="H29" s="108" t="str">
        <x:v>tmp/pdfs/hitachi-p01530q/P01530Q.pdf</x:v>
      </x:c>
      <x:c r="I29" s="108" t="str">
        <x:v>c4134b5a7bb5dde92cd6765890696d3322c5740b567d0c220a0fe9d79c4e1075</x:v>
      </x:c>
      <x:c r="J29" s="108" t="str">
        <x:v>12</x:v>
      </x:c>
      <x:c r="K29" s="108" t="str">
        <x:v>尺寸表的50–71容量段为a1220/b1180/c447/d410/h192，但IFC型号文本缺少现有官方资料常见的D，不能视为完全匹配</x:v>
      </x:c>
      <x:c r="L29" s="108" t="str">
        <x:v>设备族、机体尺寸及已列明的冷媒/排水接口条件</x:v>
      </x:c>
      <x:c r="M29" s="108" t="str">
        <x:v>不得以相近型号资料替代最终厂家接口、风量、功率或检修要求</x:v>
      </x:c>
      <x:c r="N29" s="108" t="str">
        <x:v>model_text_mismatch_requires_confirmation</x:v>
      </x:c>
      <x:c r="O29" s="108" t="str">
        <x:v>0.60</x:v>
      </x:c>
      <x:c r="P29" s="108" t="str">
        <x:v>yes</x:v>
      </x:c>
      <x:c r="Q29" s="108" t="str">
        <x:v>no</x:v>
      </x:c>
      <x:c r="R29" s="108" t="str">
        <x:v>日立/海信日立</x:v>
      </x:c>
      <x:c r="S29" s="108" t="str">
        <x:v>RPIZ-71FSLN5Q/P 1180x447x192</x:v>
      </x:c>
      <x:c r="T29" s="108" t="str"/>
      <x:c r="U29" s="108" t="str"/>
      <x:c r="V29" s="108" t="str">
        <x:v>rcp1-hvac-equipment-interface-evidence.csv</x:v>
      </x:c>
      <x:c r="W29" s="108" t="str">
        <x:v>{"evidence_id":"RCP1-HVAC-IFACE-003","equipment_ids":"A05","equipment_global_ids":"1yW7DASIz8qA$2j8z9tdl2","ifc_type_global_id":"0greWYU5v9BBjuI$1v0flf","ifc_type_name":"AC1180","ifc_model_text":"RPIZ-71FSLN5Q/P 1180x447x192","nominal_body_width_mm":"1180","nominal_body_depth_mm":"447","nominal_body_height_mm":"192","capacity_group":"63-71","gas_pipe_od_mm":"","liquid_pipe_od_mm":"","drain_pipe_od_mm":"","drain_slope_min":"","drain_slope_max":"","connection_side_basis":"unresolved","port_coordinate_status":"unresolved_exact_model_required","source_document":"P01530Q","source_url":"https://www.hisensehitachi.com/upload/accessory/202527/P01530Q.pdf","source_sha256":"c4134b5a7bb5dde92cd6765890696d3322c5740b567d0c220a0fe9d79c4e1075","pdf_page":"12","evidence":"尺寸表的50–71容量段为a1220/b1180/c447/d410/h192，但IFC型号文本缺少现有官方资料常见的D，不能视为完全匹配","status":"model_text_mismatch_requires_confirmation","confidence":"0.60","review_required":"yes","formal_ifc_write_allowed":"no","notes":"不得以相近型号资料替代最终厂家接口、风量、功率或检修要求"}</x:v>
      </x:c>
      <x:c r="X29" s="108" t="str">
        <x:v>不得以相近型号资料替代最终厂家接口、风量、功率或检修要求</x:v>
      </x:c>
    </x:row>
    <x:row r="30" ht="34" customHeight="1">
      <x:c r="A30" s="108" t="str">
        <x:v>RCP1-HVAC-IFACE-004</x:v>
      </x:c>
      <x:c r="B30" s="108" t="str">
        <x:v>HVAC/PLUM</x:v>
      </x:c>
      <x:c r="C30" s="108" t="str">
        <x:v>RCP-1/M-401</x:v>
      </x:c>
      <x:c r="D30" s="108" t="str">
        <x:v>A06 厂家接口</x:v>
      </x:c>
      <x:c r="E30" s="108" t="str">
        <x:v>legacy_model_evidence</x:v>
      </x:c>
      <x:c r="F30" s="108" t="str">
        <x:v>2504_lowpoly.blend</x:v>
      </x:c>
      <x:c r="G30" s="108" t="str"/>
      <x:c r="H30" s="108" t="str">
        <x:v>/Users/jiaxinchen/Documents/Projects/仁恒-滨海湾/Blender文件/2504_lowpoly.blend</x:v>
      </x:c>
      <x:c r="I30" s="108" t="str">
        <x:v>a8e0a94ef766667ad3749b96c158afdd538a330009b135e49ed461d1634c78ed</x:v>
      </x:c>
      <x:c r="J30" s="108" t="str"/>
      <x:c r="K30" s="108" t="str">
        <x:v>东侧第6台设备位置已由旧blend与当前三台正式设备平移基准确认，但没有正式GlobalId或设备类型</x:v>
      </x:c>
      <x:c r="L30" s="108" t="str">
        <x:v>设备族、机体尺寸及已列明的冷媒/排水接口条件</x:v>
      </x:c>
      <x:c r="M30" s="108" t="str">
        <x:v>机位不是设计备选；补正式IFC身份后才能关联厂家接口模板</x:v>
      </x:c>
      <x:c r="N30" s="108" t="str">
        <x:v>formal_identity_missing</x:v>
      </x:c>
      <x:c r="O30" s="108" t="str">
        <x:v>0.95</x:v>
      </x:c>
      <x:c r="P30" s="108" t="str">
        <x:v>yes</x:v>
      </x:c>
      <x:c r="Q30" s="108" t="str">
        <x:v>no</x:v>
      </x:c>
      <x:c r="R30" s="108" t="str"/>
      <x:c r="S30" s="108" t="str"/>
      <x:c r="T30" s="108" t="str"/>
      <x:c r="U30" s="108" t="str"/>
      <x:c r="V30" s="108" t="str">
        <x:v>rcp1-hvac-equipment-interface-evidence.csv</x:v>
      </x:c>
      <x:c r="W30" s="108" t="str">
        <x:v>{"evidence_id":"RCP1-HVAC-IFACE-004","equipment_ids":"A06","equipment_global_ids":"","ifc_type_global_id":"","ifc_type_name":"","ifc_model_text":"","nominal_body_width_mm":"","nominal_body_depth_mm":"","nominal_body_height_mm":"","capacity_group":"","gas_pipe_od_mm":"","liquid_pipe_od_mm":"","drain_pipe_od_mm":"","drain_slope_min":"","drain_slope_max":"","connection_side_basis":"unresolved","port_coordinate_status":"formal_ifc_identity_required","source_document":"2504_lowpoly.blend","source_url":"","source_sha256":"a8e0a94ef766667ad3749b96c158afdd538a330009b135e49ed461d1634c78ed","pdf_page":"","evidence":"东侧第6台设备位置已由旧blend与当前三台正式设备平移基准确认，但没有正式GlobalId或设备类型","status":"formal_identity_missing","confidence":"0.95","review_required":"yes","formal_ifc_write_allowed":"no","notes":"机位不是设计备选；补正式IFC身份后才能关联厂家接口模板"}</x:v>
      </x:c>
      <x:c r="X30" s="108" t="str">
        <x:v>机位不是设计备选；补正式IFC身份后才能关联厂家接口模板</x:v>
      </x:c>
    </x:row>
    <x:row r="31" ht="34" customHeight="1">
      <x:c r="A31" s="108" t="str">
        <x:v>IFC-FORMAL-001</x:v>
      </x:c>
      <x:c r="B31" s="108" t="str">
        <x:v>MULTI</x:v>
      </x:c>
      <x:c r="C31" s="108" t="str"/>
      <x:c r="D31" s="108" t="str">
        <x:v>正式 IFC 对象身份与既有几何</x:v>
      </x:c>
      <x:c r="E31" s="108" t="str">
        <x:v>formal_ifc</x:v>
      </x:c>
      <x:c r="F31" s="108" t="str">
        <x:v>2504 GBTB Yanlord Zhuhai.ifc</x:v>
      </x:c>
      <x:c r="G31" s="108" t="str"/>
      <x:c r="H31" s="108" t="str">
        <x:v>2504 GBTB Yanlord Zhuhai.ifc</x:v>
      </x:c>
      <x:c r="I31" s="108" t="str">
        <x:v>9a4dac0fceaa4d274c604e59f0c73d187b6db7aaece0a028f51d8d036449df1c</x:v>
      </x:c>
      <x:c r="J31" s="108" t="str">
        <x:v>GlobalId / type assignment / spatial containment</x:v>
      </x:c>
      <x:c r="K31" s="108" t="str">
        <x:v>正式 IFC 当前对象身份与类型</x:v>
      </x:c>
      <x:c r="L31" s="108" t="str">
        <x:v>IFC 中对象存在、GlobalId、类型与当前容器</x:v>
      </x:c>
      <x:c r="M31" s="108" t="str">
        <x:v>最终产品选型或厂家安装要求</x:v>
      </x:c>
      <x:c r="N31" s="108" t="str">
        <x:v>verified_formal_source</x:v>
      </x:c>
      <x:c r="O31" s="108" t="str">
        <x:v>1.00</x:v>
      </x:c>
      <x:c r="P31" s="108" t="str">
        <x:v>no</x:v>
      </x:c>
      <x:c r="Q31" s="108" t="str">
        <x:v>no</x:v>
      </x:c>
      <x:c r="R31" s="108" t="str"/>
      <x:c r="S31" s="108" t="str"/>
      <x:c r="T31" s="108" t="str"/>
      <x:c r="U31" s="108" t="str"/>
      <x:c r="V31" s="108" t="str"/>
      <x:c r="W31" s="108" t="str"/>
      <x:c r="X31" s="108" t="str">
        <x:v>由设备真源审计器逐次校验哈希</x:v>
      </x:c>
    </x:row>
    <x:row r="32" ht="34" customHeight="1">
      <x:c r="A32" s="108" t="str">
        <x:v>FUR-SRC-SHE01</x:v>
      </x:c>
      <x:c r="B32" s="108" t="str">
        <x:v>INT1</x:v>
      </x:c>
      <x:c r="C32" s="108" t="str">
        <x:v>S-701</x:v>
      </x:c>
      <x:c r="D32" s="108" t="str">
        <x:v>SHE01 产品身份</x:v>
      </x:c>
      <x:c r="E32" s="108" t="str">
        <x:v>official_product_web</x:v>
      </x:c>
      <x:c r="F32" s="108" t="str">
        <x:v>https://www.baxter.it/en/products/rafiki-accessories</x:v>
      </x:c>
      <x:c r="G32" s="108" t="str">
        <x:v>https://www.baxter.it/en/products/rafiki-accessories</x:v>
      </x:c>
      <x:c r="H32" s="108" t="str"/>
      <x:c r="I32" s="108" t="str">
        <x:v>not_applicable_live_official_web</x:v>
      </x:c>
      <x:c r="J32" s="108" t="str">
        <x:v>official product page</x:v>
      </x:c>
      <x:c r="K32" s="108" t="str">
        <x:v>用户确认产品链接；Baxter 官方页面将 Rafiki 标识为 bookcase</x:v>
      </x:c>
      <x:c r="L32" s="108" t="str">
        <x:v>厂家与产品系列身份</x:v>
      </x:c>
      <x:c r="M32" s="108" t="str">
        <x:v>项目最终规格、五金配置与安装尺寸</x:v>
      </x:c>
      <x:c r="N32" s="108" t="str">
        <x:v>verified_official_source</x:v>
      </x:c>
      <x:c r="O32" s="108" t="str">
        <x:v>1.00</x:v>
      </x:c>
      <x:c r="P32" s="108" t="str">
        <x:v>no</x:v>
      </x:c>
      <x:c r="Q32" s="108" t="str">
        <x:v>no</x:v>
      </x:c>
      <x:c r="R32" s="108" t="str">
        <x:v>Baxter</x:v>
      </x:c>
      <x:c r="S32" s="108" t="str">
        <x:v>Rafiki</x:v>
      </x:c>
      <x:c r="T32" s="108" t="str"/>
      <x:c r="U32" s="108" t="str"/>
      <x:c r="V32" s="108" t="str"/>
      <x:c r="W32" s="108" t="str"/>
      <x:c r="X32" s="108" t="str">
        <x:v>由原家具产品登记迁移</x:v>
      </x:c>
    </x:row>
    <x:row r="33" ht="34" customHeight="1">
      <x:c r="A33" s="108" t="str">
        <x:v>FUR-SRC-Libelle</x:v>
      </x:c>
      <x:c r="B33" s="108" t="str">
        <x:v>INT1</x:v>
      </x:c>
      <x:c r="C33" s="108" t="str">
        <x:v>S-701</x:v>
      </x:c>
      <x:c r="D33" s="108" t="str">
        <x:v>Libelle 产品身份</x:v>
      </x:c>
      <x:c r="E33" s="108" t="str">
        <x:v>official_product_web</x:v>
      </x:c>
      <x:c r="F33" s="108" t="str">
        <x:v>https://www.baxter.it/en/products/libelle-accessories</x:v>
      </x:c>
      <x:c r="G33" s="108" t="str">
        <x:v>https://www.baxter.it/en/products/libelle-accessories</x:v>
      </x:c>
      <x:c r="H33" s="108" t="str"/>
      <x:c r="I33" s="108" t="str">
        <x:v>not_applicable_live_official_web</x:v>
      </x:c>
      <x:c r="J33" s="108" t="str">
        <x:v>official product page</x:v>
      </x:c>
      <x:c r="K33" s="108" t="str">
        <x:v>用户确认产品链接和使用意图；Baxter 官方页面将 Libelle 标识为可配置瓶架和储物单元的模块化书架</x:v>
      </x:c>
      <x:c r="L33" s="108" t="str">
        <x:v>厂家与产品系列身份</x:v>
      </x:c>
      <x:c r="M33" s="108" t="str">
        <x:v>项目最终规格、五金配置与安装尺寸</x:v>
      </x:c>
      <x:c r="N33" s="108" t="str">
        <x:v>verified_official_source</x:v>
      </x:c>
      <x:c r="O33" s="108" t="str">
        <x:v>1.00</x:v>
      </x:c>
      <x:c r="P33" s="108" t="str">
        <x:v>no</x:v>
      </x:c>
      <x:c r="Q33" s="108" t="str">
        <x:v>no</x:v>
      </x:c>
      <x:c r="R33" s="108" t="str">
        <x:v>Baxter</x:v>
      </x:c>
      <x:c r="S33" s="108" t="str">
        <x:v>Libelle</x:v>
      </x:c>
      <x:c r="T33" s="108" t="str"/>
      <x:c r="U33" s="108" t="str"/>
      <x:c r="V33" s="108" t="str"/>
      <x:c r="W33" s="108" t="str"/>
      <x:c r="X33" s="108" t="str">
        <x:v>由原家具产品登记迁移</x:v>
      </x:c>
    </x:row>
    <x:row r="34" ht="34" customHeight="1">
      <x:c r="A34" s="108" t="str">
        <x:v>FUR-SRC-WD01</x:v>
      </x:c>
      <x:c r="B34" s="108" t="str">
        <x:v>INT1</x:v>
      </x:c>
      <x:c r="C34" s="108" t="str">
        <x:v>S-701</x:v>
      </x:c>
      <x:c r="D34" s="108" t="str">
        <x:v>WD01 产品身份</x:v>
      </x:c>
      <x:c r="E34" s="108" t="str">
        <x:v>official_product_web</x:v>
      </x:c>
      <x:c r="F34" s="108" t="str">
        <x:v>https://www.poliform.it/en/products/pivot/</x:v>
      </x:c>
      <x:c r="G34" s="108" t="str">
        <x:v>https://www.poliform.it/en/products/pivot/</x:v>
      </x:c>
      <x:c r="H34" s="108" t="str"/>
      <x:c r="I34" s="108" t="str">
        <x:v>not_applicable_live_official_web</x:v>
      </x:c>
      <x:c r="J34" s="108" t="str">
        <x:v>official product page</x:v>
      </x:c>
      <x:c r="K34" s="108" t="str">
        <x:v>用户确认“Pivot between wardrobe and wall: freestanding wardrobe and wall mounted Pivot”；IFC 类型 Description=Poliform Pivot Senzafine；官方 Pivot 页面证明其为可与 Poliform 衣柜系统集成的旋转门/开口系统</x:v>
      </x:c>
      <x:c r="L34" s="108" t="str">
        <x:v>厂家与产品系列身份</x:v>
      </x:c>
      <x:c r="M34" s="108" t="str">
        <x:v>项目最终规格、五金配置与安装尺寸</x:v>
      </x:c>
      <x:c r="N34" s="108" t="str">
        <x:v>verified_official_source</x:v>
      </x:c>
      <x:c r="O34" s="108" t="str">
        <x:v>1.00</x:v>
      </x:c>
      <x:c r="P34" s="108" t="str">
        <x:v>no</x:v>
      </x:c>
      <x:c r="Q34" s="108" t="str">
        <x:v>no</x:v>
      </x:c>
      <x:c r="R34" s="108" t="str">
        <x:v>Poliform</x:v>
      </x:c>
      <x:c r="S34" s="108" t="str">
        <x:v>Senzafine + Pivot</x:v>
      </x:c>
      <x:c r="T34" s="108" t="str"/>
      <x:c r="U34" s="108" t="str"/>
      <x:c r="V34" s="108" t="str"/>
      <x:c r="W34" s="108" t="str"/>
      <x:c r="X34" s="108" t="str">
        <x:v>由原家具产品登记迁移</x:v>
      </x:c>
    </x:row>
    <x:row r="35" ht="34" customHeight="1">
      <x:c r="A35" s="108" t="str">
        <x:v>FUR-SRC-WD01L</x:v>
      </x:c>
      <x:c r="B35" s="108" t="str">
        <x:v>INT1</x:v>
      </x:c>
      <x:c r="C35" s="108" t="str">
        <x:v>S-701</x:v>
      </x:c>
      <x:c r="D35" s="108" t="str">
        <x:v>WD01L 产品身份</x:v>
      </x:c>
      <x:c r="E35" s="108" t="str">
        <x:v>official_product_web</x:v>
      </x:c>
      <x:c r="F35" s="108" t="str">
        <x:v>https://www.poliform.it/en/products/pivot/</x:v>
      </x:c>
      <x:c r="G35" s="108" t="str">
        <x:v>https://www.poliform.it/en/products/pivot/</x:v>
      </x:c>
      <x:c r="H35" s="108" t="str"/>
      <x:c r="I35" s="108" t="str">
        <x:v>not_applicable_live_official_web</x:v>
      </x:c>
      <x:c r="J35" s="108" t="str">
        <x:v>official product page</x:v>
      </x:c>
      <x:c r="K35" s="108" t="str">
        <x:v>用户确认“Pivot between wardrobe and wall: freestanding wardrobe and wall mounted Pivot”；IFC 类型 Description=Poliform Pivot Senzafine；官方 Pivot 页面证明其为可与 Poliform 衣柜系统集成的旋转门/开口系统</x:v>
      </x:c>
      <x:c r="L35" s="108" t="str">
        <x:v>厂家与产品系列身份</x:v>
      </x:c>
      <x:c r="M35" s="108" t="str">
        <x:v>项目最终规格、五金配置与安装尺寸</x:v>
      </x:c>
      <x:c r="N35" s="108" t="str">
        <x:v>verified_official_source</x:v>
      </x:c>
      <x:c r="O35" s="108" t="str">
        <x:v>1.00</x:v>
      </x:c>
      <x:c r="P35" s="108" t="str">
        <x:v>no</x:v>
      </x:c>
      <x:c r="Q35" s="108" t="str">
        <x:v>no</x:v>
      </x:c>
      <x:c r="R35" s="108" t="str">
        <x:v>Poliform</x:v>
      </x:c>
      <x:c r="S35" s="108" t="str">
        <x:v>Senzafine + Pivot</x:v>
      </x:c>
      <x:c r="T35" s="108" t="str"/>
      <x:c r="U35" s="108" t="str"/>
      <x:c r="V35" s="108" t="str"/>
      <x:c r="W35" s="108" t="str"/>
      <x:c r="X35" s="108" t="str">
        <x:v>由原家具产品登记迁移</x:v>
      </x:c>
    </x:row>
    <x:row r="36" ht="34" customHeight="1">
      <x:c r="A36" s="108" t="str">
        <x:v>FUR-SRC-WD02</x:v>
      </x:c>
      <x:c r="B36" s="108" t="str">
        <x:v>INT1</x:v>
      </x:c>
      <x:c r="C36" s="108" t="str">
        <x:v>S-701</x:v>
      </x:c>
      <x:c r="D36" s="108" t="str">
        <x:v>WD02 产品身份</x:v>
      </x:c>
      <x:c r="E36" s="108" t="str">
        <x:v>official_product_web</x:v>
      </x:c>
      <x:c r="F36" s="108" t="str">
        <x:v>https://www.poliform.it/en/products/senzafine-wardrobe/</x:v>
      </x:c>
      <x:c r="G36" s="108" t="str">
        <x:v>https://www.poliform.it/en/products/senzafine-wardrobe/</x:v>
      </x:c>
      <x:c r="H36" s="108" t="str"/>
      <x:c r="I36" s="108" t="str">
        <x:v>not_applicable_live_official_web</x:v>
      </x:c>
      <x:c r="J36" s="108" t="str">
        <x:v>official product page</x:v>
      </x:c>
      <x:c r="K36" s="108" t="str">
        <x:v>用户确认产品链接；Poliform 官方页面将 Senzafine 标识为模块化衣柜系统</x:v>
      </x:c>
      <x:c r="L36" s="108" t="str">
        <x:v>厂家与产品系列身份</x:v>
      </x:c>
      <x:c r="M36" s="108" t="str">
        <x:v>项目最终规格、五金配置与安装尺寸</x:v>
      </x:c>
      <x:c r="N36" s="108" t="str">
        <x:v>verified_official_source</x:v>
      </x:c>
      <x:c r="O36" s="108" t="str">
        <x:v>1.00</x:v>
      </x:c>
      <x:c r="P36" s="108" t="str">
        <x:v>no</x:v>
      </x:c>
      <x:c r="Q36" s="108" t="str">
        <x:v>no</x:v>
      </x:c>
      <x:c r="R36" s="108" t="str">
        <x:v>Poliform</x:v>
      </x:c>
      <x:c r="S36" s="108" t="str">
        <x:v>Senzafine</x:v>
      </x:c>
      <x:c r="T36" s="108" t="str"/>
      <x:c r="U36" s="108" t="str"/>
      <x:c r="V36" s="108" t="str"/>
      <x:c r="W36" s="108" t="str"/>
      <x:c r="X36" s="108" t="str">
        <x:v>由原家具产品登记迁移</x:v>
      </x:c>
    </x:row>
    <x:row r="37" ht="34" customHeight="1">
      <x:c r="A37" s="108" t="str">
        <x:v>FUR-SRC-WD03</x:v>
      </x:c>
      <x:c r="B37" s="108" t="str">
        <x:v>INT1</x:v>
      </x:c>
      <x:c r="C37" s="108" t="str">
        <x:v>S-701</x:v>
      </x:c>
      <x:c r="D37" s="108" t="str">
        <x:v>WD03 产品身份</x:v>
      </x:c>
      <x:c r="E37" s="108" t="str">
        <x:v>official_product_web</x:v>
      </x:c>
      <x:c r="F37" s="108" t="str">
        <x:v>https://www.poliform.it/en/products/senzafine-wardrobe/</x:v>
      </x:c>
      <x:c r="G37" s="108" t="str">
        <x:v>https://www.poliform.it/en/products/senzafine-wardrobe/</x:v>
      </x:c>
      <x:c r="H37" s="108" t="str"/>
      <x:c r="I37" s="108" t="str">
        <x:v>not_applicable_live_official_web</x:v>
      </x:c>
      <x:c r="J37" s="108" t="str">
        <x:v>official product page</x:v>
      </x:c>
      <x:c r="K37" s="108" t="str">
        <x:v>用户确认产品链接；Poliform 官方页面将 Senzafine 标识为模块化衣柜系统</x:v>
      </x:c>
      <x:c r="L37" s="108" t="str">
        <x:v>厂家与产品系列身份</x:v>
      </x:c>
      <x:c r="M37" s="108" t="str">
        <x:v>项目最终规格、五金配置与安装尺寸</x:v>
      </x:c>
      <x:c r="N37" s="108" t="str">
        <x:v>verified_official_source</x:v>
      </x:c>
      <x:c r="O37" s="108" t="str">
        <x:v>1.00</x:v>
      </x:c>
      <x:c r="P37" s="108" t="str">
        <x:v>no</x:v>
      </x:c>
      <x:c r="Q37" s="108" t="str">
        <x:v>no</x:v>
      </x:c>
      <x:c r="R37" s="108" t="str">
        <x:v>Poliform</x:v>
      </x:c>
      <x:c r="S37" s="108" t="str">
        <x:v>Senzafine</x:v>
      </x:c>
      <x:c r="T37" s="108" t="str"/>
      <x:c r="U37" s="108" t="str"/>
      <x:c r="V37" s="108" t="str"/>
      <x:c r="W37" s="108" t="str"/>
      <x:c r="X37" s="108" t="str">
        <x:v>由原家具产品登记迁移</x:v>
      </x:c>
    </x:row>
    <x:row r="38" ht="34" customHeight="1">
      <x:c r="A38" s="108" t="str">
        <x:v>FUR-SRC-BST01</x:v>
      </x:c>
      <x:c r="B38" s="108" t="str">
        <x:v>INT1</x:v>
      </x:c>
      <x:c r="C38" s="108" t="str">
        <x:v>S-701</x:v>
      </x:c>
      <x:c r="D38" s="108" t="str">
        <x:v>BST01 产品身份</x:v>
      </x:c>
      <x:c r="E38" s="108" t="str">
        <x:v>official_product_web</x:v>
      </x:c>
      <x:c r="F38" s="108" t="str">
        <x:v>https://www.baxter.it/en/products/ninfea-tables-and-coffee-tables</x:v>
      </x:c>
      <x:c r="G38" s="108" t="str">
        <x:v>https://www.baxter.it/en/products/ninfea-tables-and-coffee-tables</x:v>
      </x:c>
      <x:c r="H38" s="108" t="str"/>
      <x:c r="I38" s="108" t="str">
        <x:v>not_applicable_live_official_web</x:v>
      </x:c>
      <x:c r="J38" s="108" t="str">
        <x:v>official product page</x:v>
      </x:c>
      <x:c r="K38" s="108" t="str">
        <x:v>用户确认产品链接；IFC 类型名 BST01 与官方页面的 Ninfea bedside table 品类一致；左右开口未在 IFC 类型名中记录</x:v>
      </x:c>
      <x:c r="L38" s="108" t="str">
        <x:v>厂家与产品系列身份</x:v>
      </x:c>
      <x:c r="M38" s="108" t="str">
        <x:v>项目最终规格、五金配置与安装尺寸</x:v>
      </x:c>
      <x:c r="N38" s="108" t="str">
        <x:v>verified_official_source</x:v>
      </x:c>
      <x:c r="O38" s="108" t="str">
        <x:v>1.00</x:v>
      </x:c>
      <x:c r="P38" s="108" t="str">
        <x:v>no</x:v>
      </x:c>
      <x:c r="Q38" s="108" t="str">
        <x:v>no</x:v>
      </x:c>
      <x:c r="R38" s="108" t="str">
        <x:v>Baxter</x:v>
      </x:c>
      <x:c r="S38" s="108" t="str">
        <x:v>Ninfea</x:v>
      </x:c>
      <x:c r="T38" s="108" t="str"/>
      <x:c r="U38" s="108" t="str"/>
      <x:c r="V38" s="108" t="str"/>
      <x:c r="W38" s="108" t="str"/>
      <x:c r="X38" s="108" t="str">
        <x:v>由原家具产品登记迁移</x:v>
      </x:c>
    </x:row>
    <x:row r="39" ht="34" customHeight="1">
      <x:c r="A39" s="108" t="str">
        <x:v>FUR-SRC-BST02</x:v>
      </x:c>
      <x:c r="B39" s="108" t="str">
        <x:v>INT1</x:v>
      </x:c>
      <x:c r="C39" s="108" t="str">
        <x:v>S-701</x:v>
      </x:c>
      <x:c r="D39" s="108" t="str">
        <x:v>BST02 产品身份</x:v>
      </x:c>
      <x:c r="E39" s="108" t="str">
        <x:v>official_product_web</x:v>
      </x:c>
      <x:c r="F39" s="108" t="str">
        <x:v>https://www.baxter.it/en/products/beside-tables-and-coffee-tables</x:v>
      </x:c>
      <x:c r="G39" s="108" t="str">
        <x:v>https://www.baxter.it/en/products/beside-tables-and-coffee-tables</x:v>
      </x:c>
      <x:c r="H39" s="108" t="str"/>
      <x:c r="I39" s="108" t="str">
        <x:v>not_applicable_live_official_web</x:v>
      </x:c>
      <x:c r="J39" s="108" t="str">
        <x:v>official product page</x:v>
      </x:c>
      <x:c r="K39" s="108" t="str">
        <x:v>用户确认产品链接；Baxter 官方页面将 Beside 标识为 bedside table</x:v>
      </x:c>
      <x:c r="L39" s="108" t="str">
        <x:v>厂家与产品系列身份</x:v>
      </x:c>
      <x:c r="M39" s="108" t="str">
        <x:v>项目最终规格、五金配置与安装尺寸</x:v>
      </x:c>
      <x:c r="N39" s="108" t="str">
        <x:v>verified_official_source</x:v>
      </x:c>
      <x:c r="O39" s="108" t="str">
        <x:v>1.00</x:v>
      </x:c>
      <x:c r="P39" s="108" t="str">
        <x:v>no</x:v>
      </x:c>
      <x:c r="Q39" s="108" t="str">
        <x:v>no</x:v>
      </x:c>
      <x:c r="R39" s="108" t="str">
        <x:v>Baxter</x:v>
      </x:c>
      <x:c r="S39" s="108" t="str">
        <x:v>Beside</x:v>
      </x:c>
      <x:c r="T39" s="108" t="str"/>
      <x:c r="U39" s="108" t="str"/>
      <x:c r="V39" s="108" t="str"/>
      <x:c r="W39" s="108" t="str"/>
      <x:c r="X39" s="108" t="str">
        <x:v>由原家具产品登记迁移</x:v>
      </x:c>
    </x:row>
    <x:row r="40" ht="34" customHeight="1">
      <x:c r="A40" s="108" t="str">
        <x:v>FUR-SRC-BST03</x:v>
      </x:c>
      <x:c r="B40" s="108" t="str">
        <x:v>INT1</x:v>
      </x:c>
      <x:c r="C40" s="108" t="str">
        <x:v>S-701</x:v>
      </x:c>
      <x:c r="D40" s="108" t="str">
        <x:v>BST03 产品身份</x:v>
      </x:c>
      <x:c r="E40" s="108" t="str">
        <x:v>official_product_web</x:v>
      </x:c>
      <x:c r="F40" s="108" t="str">
        <x:v>https://www.baxter.it/en/products/stone-beds</x:v>
      </x:c>
      <x:c r="G40" s="108" t="str">
        <x:v>https://www.baxter.it/en/products/stone-beds</x:v>
      </x:c>
      <x:c r="H40" s="108" t="str"/>
      <x:c r="I40" s="108" t="str">
        <x:v>not_applicable_live_official_web</x:v>
      </x:c>
      <x:c r="J40" s="108" t="str">
        <x:v>official product page</x:v>
      </x:c>
      <x:c r="K40" s="108" t="str">
        <x:v>用户确认为 Stone 系列 FREESTANDING BEDSIDE TABLE WITH L DRAWER；Baxter 官方页面列出该款床头柜</x:v>
      </x:c>
      <x:c r="L40" s="108" t="str">
        <x:v>厂家与产品系列身份</x:v>
      </x:c>
      <x:c r="M40" s="108" t="str">
        <x:v>项目最终规格、五金配置与安装尺寸</x:v>
      </x:c>
      <x:c r="N40" s="108" t="str">
        <x:v>verified_official_source</x:v>
      </x:c>
      <x:c r="O40" s="108" t="str">
        <x:v>1.00</x:v>
      </x:c>
      <x:c r="P40" s="108" t="str">
        <x:v>no</x:v>
      </x:c>
      <x:c r="Q40" s="108" t="str">
        <x:v>no</x:v>
      </x:c>
      <x:c r="R40" s="108" t="str">
        <x:v>Baxter</x:v>
      </x:c>
      <x:c r="S40" s="108" t="str">
        <x:v>Stone</x:v>
      </x:c>
      <x:c r="T40" s="108" t="str"/>
      <x:c r="U40" s="108" t="str"/>
      <x:c r="V40" s="108" t="str"/>
      <x:c r="W40" s="108" t="str"/>
      <x:c r="X40" s="108" t="str">
        <x:v>由原家具产品登记迁移</x:v>
      </x:c>
    </x:row>
    <x:row r="41" ht="34" customHeight="1">
      <x:c r="A41" s="108" t="str">
        <x:v>FUR-ROLE-SRC-ac1af453d928</x:v>
      </x:c>
      <x:c r="B41" s="108" t="str">
        <x:v>INT1</x:v>
      </x:c>
      <x:c r="C41" s="108" t="str">
        <x:v>INT1/S-701</x:v>
      </x:c>
      <x:c r="D41" s="108" t="str">
        <x:v>BD600DW 安装角色</x:v>
      </x:c>
      <x:c r="E41" s="108" t="str">
        <x:v>project_ifc_classification</x:v>
      </x:c>
      <x:c r="F41" s="108" t="str">
        <x:v>2504 GBTB Yanlord Zhuhai.ifc</x:v>
      </x:c>
      <x:c r="G41" s="108" t="str"/>
      <x:c r="H41" s="108" t="str">
        <x:v>2504 GBTB Yanlord Zhuhai.ifc</x:v>
      </x:c>
      <x:c r="I41" s="108" t="str">
        <x:v>9a4dac0fceaa4d274c604e59f0c73d187b6db7aaece0a028f51d8d036449df1c</x:v>
      </x:c>
      <x:c r="J41" s="108" t="str">
        <x:v>type_name=BD600DW</x:v>
      </x:c>
      <x:c r="K41" s="108" t="str">
        <x:v>类型与 VVD 中 600×767×888 mm 几何共同识别为岛台固定柜体单元</x:v>
      </x:c>
      <x:c r="L41" s="108" t="str">
        <x:v>installation_role=fixed_furniture</x:v>
      </x:c>
      <x:c r="M41" s="108" t="str">
        <x:v>最终产品安装节点、连接件或现场完成状态</x:v>
      </x:c>
      <x:c r="N41" s="108" t="str">
        <x:v>implemented</x:v>
      </x:c>
      <x:c r="O41" s="108" t="str">
        <x:v>0.99</x:v>
      </x:c>
      <x:c r="P41" s="108" t="str">
        <x:v>no</x:v>
      </x:c>
      <x:c r="Q41" s="108" t="str">
        <x:v>no</x:v>
      </x:c>
      <x:c r="R41" s="108" t="str"/>
      <x:c r="S41" s="108" t="str">
        <x:v>BD600DW</x:v>
      </x:c>
      <x:c r="T41" s="108" t="str"/>
      <x:c r="U41" s="108" t="str"/>
      <x:c r="V41" s="108" t="str">
        <x:v>furniture-installation-role.csv</x:v>
      </x:c>
      <x:c r="W41" s="108" t="str">
        <x:v>{"selector_kind":"type_name","selector_value":"BD600DW","installation_role":"fixed_furniture","basis":"类型与 VVD 中 600×767×888 mm 几何共同识别为岛台固定柜体单元","confidence":"0.99","human_review_required":"no","status":"implemented"}</x:v>
      </x:c>
      <x:c r="X41" s="108" t="str">
        <x:v>由原家具安装角色登记无损迁移</x:v>
      </x:c>
    </x:row>
    <x:row r="42" ht="34" customHeight="1">
      <x:c r="A42" s="108" t="str">
        <x:v>FUR-ROLE-SRC-facd5fffb5d0</x:v>
      </x:c>
      <x:c r="B42" s="108" t="str">
        <x:v>INT1</x:v>
      </x:c>
      <x:c r="C42" s="108" t="str">
        <x:v>INT1/S-701</x:v>
      </x:c>
      <x:c r="D42" s="108" t="str">
        <x:v>BD600P 安装角色</x:v>
      </x:c>
      <x:c r="E42" s="108" t="str">
        <x:v>project_ifc_classification</x:v>
      </x:c>
      <x:c r="F42" s="108" t="str">
        <x:v>2504 GBTB Yanlord Zhuhai.ifc</x:v>
      </x:c>
      <x:c r="G42" s="108" t="str"/>
      <x:c r="H42" s="108" t="str">
        <x:v>2504 GBTB Yanlord Zhuhai.ifc</x:v>
      </x:c>
      <x:c r="I42" s="108" t="str">
        <x:v>9a4dac0fceaa4d274c604e59f0c73d187b6db7aaece0a028f51d8d036449df1c</x:v>
      </x:c>
      <x:c r="J42" s="108" t="str">
        <x:v>type_name=BD600P</x:v>
      </x:c>
      <x:c r="K42" s="108" t="str">
        <x:v>类型与 VVD 中 600×767×693 mm 几何共同识别为岛台固定柜体单元</x:v>
      </x:c>
      <x:c r="L42" s="108" t="str">
        <x:v>installation_role=fixed_furniture</x:v>
      </x:c>
      <x:c r="M42" s="108" t="str">
        <x:v>最终产品安装节点、连接件或现场完成状态</x:v>
      </x:c>
      <x:c r="N42" s="108" t="str">
        <x:v>implemented</x:v>
      </x:c>
      <x:c r="O42" s="108" t="str">
        <x:v>0.99</x:v>
      </x:c>
      <x:c r="P42" s="108" t="str">
        <x:v>no</x:v>
      </x:c>
      <x:c r="Q42" s="108" t="str">
        <x:v>no</x:v>
      </x:c>
      <x:c r="R42" s="108" t="str"/>
      <x:c r="S42" s="108" t="str">
        <x:v>BD600P</x:v>
      </x:c>
      <x:c r="T42" s="108" t="str"/>
      <x:c r="U42" s="108" t="str"/>
      <x:c r="V42" s="108" t="str">
        <x:v>furniture-installation-role.csv</x:v>
      </x:c>
      <x:c r="W42" s="108" t="str">
        <x:v>{"selector_kind":"type_name","selector_value":"BD600P","installation_role":"fixed_furniture","basis":"类型与 VVD 中 600×767×693 mm 几何共同识别为岛台固定柜体单元","confidence":"0.99","human_review_required":"no","status":"implemented"}</x:v>
      </x:c>
      <x:c r="X42" s="108" t="str">
        <x:v>由原家具安装角色登记无损迁移</x:v>
      </x:c>
    </x:row>
    <x:row r="43" ht="34" customHeight="1">
      <x:c r="A43" s="108" t="str">
        <x:v>FUR-ROLE-SRC-2a281d2df076</x:v>
      </x:c>
      <x:c r="B43" s="108" t="str">
        <x:v>INT1</x:v>
      </x:c>
      <x:c r="C43" s="108" t="str">
        <x:v>INT1/S-701</x:v>
      </x:c>
      <x:c r="D43" s="108" t="str">
        <x:v>BN1200 安装角色</x:v>
      </x:c>
      <x:c r="E43" s="108" t="str">
        <x:v>project_ifc_classification</x:v>
      </x:c>
      <x:c r="F43" s="108" t="str">
        <x:v>2504 GBTB Yanlord Zhuhai.ifc</x:v>
      </x:c>
      <x:c r="G43" s="108" t="str"/>
      <x:c r="H43" s="108" t="str">
        <x:v>2504 GBTB Yanlord Zhuhai.ifc</x:v>
      </x:c>
      <x:c r="I43" s="108" t="str">
        <x:v>9a4dac0fceaa4d274c604e59f0c73d187b6db7aaece0a028f51d8d036449df1c</x:v>
      </x:c>
      <x:c r="J43" s="108" t="str">
        <x:v>type_name=BN1200</x:v>
      </x:c>
      <x:c r="K43" s="108" t="str">
        <x:v>类型与 KITCHEN 中 617×1200×888 mm 几何共同识别为固定地柜</x:v>
      </x:c>
      <x:c r="L43" s="108" t="str">
        <x:v>installation_role=fixed_furniture</x:v>
      </x:c>
      <x:c r="M43" s="108" t="str">
        <x:v>最终产品安装节点、连接件或现场完成状态</x:v>
      </x:c>
      <x:c r="N43" s="108" t="str">
        <x:v>implemented</x:v>
      </x:c>
      <x:c r="O43" s="108" t="str">
        <x:v>0.99</x:v>
      </x:c>
      <x:c r="P43" s="108" t="str">
        <x:v>no</x:v>
      </x:c>
      <x:c r="Q43" s="108" t="str">
        <x:v>no</x:v>
      </x:c>
      <x:c r="R43" s="108" t="str"/>
      <x:c r="S43" s="108" t="str">
        <x:v>BN1200</x:v>
      </x:c>
      <x:c r="T43" s="108" t="str"/>
      <x:c r="U43" s="108" t="str"/>
      <x:c r="V43" s="108" t="str">
        <x:v>furniture-installation-role.csv</x:v>
      </x:c>
      <x:c r="W43" s="108" t="str">
        <x:v>{"selector_kind":"type_name","selector_value":"BN1200","installation_role":"fixed_furniture","basis":"类型与 KITCHEN 中 617×1200×888 mm 几何共同识别为固定地柜","confidence":"0.99","human_review_required":"no","status":"implemented"}</x:v>
      </x:c>
      <x:c r="X43" s="108" t="str">
        <x:v>由原家具安装角色登记无损迁移</x:v>
      </x:c>
    </x:row>
    <x:row r="44" ht="34" customHeight="1">
      <x:c r="A44" s="108" t="str">
        <x:v>FUR-ROLE-SRC-b86cabfea99b</x:v>
      </x:c>
      <x:c r="B44" s="108" t="str">
        <x:v>INT1</x:v>
      </x:c>
      <x:c r="C44" s="108" t="str">
        <x:v>INT1/S-701</x:v>
      </x:c>
      <x:c r="D44" s="108" t="str">
        <x:v>BN450 安装角色</x:v>
      </x:c>
      <x:c r="E44" s="108" t="str">
        <x:v>project_ifc_classification</x:v>
      </x:c>
      <x:c r="F44" s="108" t="str">
        <x:v>2504 GBTB Yanlord Zhuhai.ifc</x:v>
      </x:c>
      <x:c r="G44" s="108" t="str"/>
      <x:c r="H44" s="108" t="str">
        <x:v>2504 GBTB Yanlord Zhuhai.ifc</x:v>
      </x:c>
      <x:c r="I44" s="108" t="str">
        <x:v>9a4dac0fceaa4d274c604e59f0c73d187b6db7aaece0a028f51d8d036449df1c</x:v>
      </x:c>
      <x:c r="J44" s="108" t="str">
        <x:v>type_name=BN450</x:v>
      </x:c>
      <x:c r="K44" s="108" t="str">
        <x:v>类型与 KITCHEN 中 617×450×888 mm 几何共同识别为固定地柜</x:v>
      </x:c>
      <x:c r="L44" s="108" t="str">
        <x:v>installation_role=fixed_furniture</x:v>
      </x:c>
      <x:c r="M44" s="108" t="str">
        <x:v>最终产品安装节点、连接件或现场完成状态</x:v>
      </x:c>
      <x:c r="N44" s="108" t="str">
        <x:v>implemented</x:v>
      </x:c>
      <x:c r="O44" s="108" t="str">
        <x:v>0.99</x:v>
      </x:c>
      <x:c r="P44" s="108" t="str">
        <x:v>no</x:v>
      </x:c>
      <x:c r="Q44" s="108" t="str">
        <x:v>no</x:v>
      </x:c>
      <x:c r="R44" s="108" t="str"/>
      <x:c r="S44" s="108" t="str">
        <x:v>BN450</x:v>
      </x:c>
      <x:c r="T44" s="108" t="str"/>
      <x:c r="U44" s="108" t="str"/>
      <x:c r="V44" s="108" t="str">
        <x:v>furniture-installation-role.csv</x:v>
      </x:c>
      <x:c r="W44" s="108" t="str">
        <x:v>{"selector_kind":"type_name","selector_value":"BN450","installation_role":"fixed_furniture","basis":"类型与 KITCHEN 中 617×450×888 mm 几何共同识别为固定地柜","confidence":"0.99","human_review_required":"no","status":"implemented"}</x:v>
      </x:c>
      <x:c r="X44" s="108" t="str">
        <x:v>由原家具安装角色登记无损迁移</x:v>
      </x:c>
    </x:row>
    <x:row r="45" ht="34" customHeight="1">
      <x:c r="A45" s="108" t="str">
        <x:v>FUR-ROLE-SRC-8d16f63cd607</x:v>
      </x:c>
      <x:c r="B45" s="108" t="str">
        <x:v>INT1</x:v>
      </x:c>
      <x:c r="C45" s="108" t="str">
        <x:v>INT1/S-701</x:v>
      </x:c>
      <x:c r="D45" s="108" t="str">
        <x:v>BN900 安装角色</x:v>
      </x:c>
      <x:c r="E45" s="108" t="str">
        <x:v>project_ifc_classification</x:v>
      </x:c>
      <x:c r="F45" s="108" t="str">
        <x:v>2504 GBTB Yanlord Zhuhai.ifc</x:v>
      </x:c>
      <x:c r="G45" s="108" t="str"/>
      <x:c r="H45" s="108" t="str">
        <x:v>2504 GBTB Yanlord Zhuhai.ifc</x:v>
      </x:c>
      <x:c r="I45" s="108" t="str">
        <x:v>9a4dac0fceaa4d274c604e59f0c73d187b6db7aaece0a028f51d8d036449df1c</x:v>
      </x:c>
      <x:c r="J45" s="108" t="str">
        <x:v>type_name=BN900</x:v>
      </x:c>
      <x:c r="K45" s="108" t="str">
        <x:v>类型与 KITCHEN 中 617×900×888 mm 几何共同识别为固定地柜</x:v>
      </x:c>
      <x:c r="L45" s="108" t="str">
        <x:v>installation_role=fixed_furniture</x:v>
      </x:c>
      <x:c r="M45" s="108" t="str">
        <x:v>最终产品安装节点、连接件或现场完成状态</x:v>
      </x:c>
      <x:c r="N45" s="108" t="str">
        <x:v>implemented</x:v>
      </x:c>
      <x:c r="O45" s="108" t="str">
        <x:v>0.99</x:v>
      </x:c>
      <x:c r="P45" s="108" t="str">
        <x:v>no</x:v>
      </x:c>
      <x:c r="Q45" s="108" t="str">
        <x:v>no</x:v>
      </x:c>
      <x:c r="R45" s="108" t="str"/>
      <x:c r="S45" s="108" t="str">
        <x:v>BN900</x:v>
      </x:c>
      <x:c r="T45" s="108" t="str"/>
      <x:c r="U45" s="108" t="str"/>
      <x:c r="V45" s="108" t="str">
        <x:v>furniture-installation-role.csv</x:v>
      </x:c>
      <x:c r="W45" s="108" t="str">
        <x:v>{"selector_kind":"type_name","selector_value":"BN900","installation_role":"fixed_furniture","basis":"类型与 KITCHEN 中 617×900×888 mm 几何共同识别为固定地柜","confidence":"0.99","human_review_required":"no","status":"implemented"}</x:v>
      </x:c>
      <x:c r="X45" s="108" t="str">
        <x:v>由原家具安装角色登记无损迁移</x:v>
      </x:c>
    </x:row>
    <x:row r="46" ht="34" customHeight="1">
      <x:c r="A46" s="108" t="str">
        <x:v>FUR-ROLE-SRC-9fc483e31a2a</x:v>
      </x:c>
      <x:c r="B46" s="108" t="str">
        <x:v>INT1</x:v>
      </x:c>
      <x:c r="C46" s="108" t="str">
        <x:v>INT1/S-701</x:v>
      </x:c>
      <x:c r="D46" s="108" t="str">
        <x:v>BNW900C 安装角色</x:v>
      </x:c>
      <x:c r="E46" s="108" t="str">
        <x:v>project_ifc_classification</x:v>
      </x:c>
      <x:c r="F46" s="108" t="str">
        <x:v>2504 GBTB Yanlord Zhuhai.ifc</x:v>
      </x:c>
      <x:c r="G46" s="108" t="str"/>
      <x:c r="H46" s="108" t="str">
        <x:v>2504 GBTB Yanlord Zhuhai.ifc</x:v>
      </x:c>
      <x:c r="I46" s="108" t="str">
        <x:v>9a4dac0fceaa4d274c604e59f0c73d187b6db7aaece0a028f51d8d036449df1c</x:v>
      </x:c>
      <x:c r="J46" s="108" t="str">
        <x:v>type_name=BNW900C</x:v>
      </x:c>
      <x:c r="K46" s="108" t="str">
        <x:v>类型与 KITCHEN 中 1100×750×888 mm 几何共同识别为固定转角柜单元</x:v>
      </x:c>
      <x:c r="L46" s="108" t="str">
        <x:v>installation_role=fixed_furniture</x:v>
      </x:c>
      <x:c r="M46" s="108" t="str">
        <x:v>最终产品安装节点、连接件或现场完成状态</x:v>
      </x:c>
      <x:c r="N46" s="108" t="str">
        <x:v>implemented</x:v>
      </x:c>
      <x:c r="O46" s="108" t="str">
        <x:v>0.99</x:v>
      </x:c>
      <x:c r="P46" s="108" t="str">
        <x:v>no</x:v>
      </x:c>
      <x:c r="Q46" s="108" t="str">
        <x:v>no</x:v>
      </x:c>
      <x:c r="R46" s="108" t="str"/>
      <x:c r="S46" s="108" t="str">
        <x:v>BNW900C</x:v>
      </x:c>
      <x:c r="T46" s="108" t="str"/>
      <x:c r="U46" s="108" t="str"/>
      <x:c r="V46" s="108" t="str">
        <x:v>furniture-installation-role.csv</x:v>
      </x:c>
      <x:c r="W46" s="108" t="str">
        <x:v>{"selector_kind":"type_name","selector_value":"BNW900C","installation_role":"fixed_furniture","basis":"类型与 KITCHEN 中 1100×750×888 mm 几何共同识别为固定转角柜单元","confidence":"0.99","human_review_required":"no","status":"implemented"}</x:v>
      </x:c>
      <x:c r="X46" s="108" t="str">
        <x:v>由原家具安装角色登记无损迁移</x:v>
      </x:c>
    </x:row>
    <x:row r="47" ht="34" customHeight="1">
      <x:c r="A47" s="108" t="str">
        <x:v>FUR-ROLE-SRC-707aa17747d8</x:v>
      </x:c>
      <x:c r="B47" s="108" t="str">
        <x:v>INT1</x:v>
      </x:c>
      <x:c r="C47" s="108" t="str">
        <x:v>INT1/S-701</x:v>
      </x:c>
      <x:c r="D47" s="108" t="str">
        <x:v>BS1200P 安装角色</x:v>
      </x:c>
      <x:c r="E47" s="108" t="str">
        <x:v>project_ifc_classification</x:v>
      </x:c>
      <x:c r="F47" s="108" t="str">
        <x:v>2504 GBTB Yanlord Zhuhai.ifc</x:v>
      </x:c>
      <x:c r="G47" s="108" t="str"/>
      <x:c r="H47" s="108" t="str">
        <x:v>2504 GBTB Yanlord Zhuhai.ifc</x:v>
      </x:c>
      <x:c r="I47" s="108" t="str">
        <x:v>9a4dac0fceaa4d274c604e59f0c73d187b6db7aaece0a028f51d8d036449df1c</x:v>
      </x:c>
      <x:c r="J47" s="108" t="str">
        <x:v>type_name=BS1200P</x:v>
      </x:c>
      <x:c r="K47" s="108" t="str">
        <x:v>类型与 VVD 中 1200×331×693 mm 几何共同识别为岛台固定柜体单元</x:v>
      </x:c>
      <x:c r="L47" s="108" t="str">
        <x:v>installation_role=fixed_furniture</x:v>
      </x:c>
      <x:c r="M47" s="108" t="str">
        <x:v>最终产品安装节点、连接件或现场完成状态</x:v>
      </x:c>
      <x:c r="N47" s="108" t="str">
        <x:v>implemented</x:v>
      </x:c>
      <x:c r="O47" s="108" t="str">
        <x:v>0.99</x:v>
      </x:c>
      <x:c r="P47" s="108" t="str">
        <x:v>no</x:v>
      </x:c>
      <x:c r="Q47" s="108" t="str">
        <x:v>no</x:v>
      </x:c>
      <x:c r="R47" s="108" t="str"/>
      <x:c r="S47" s="108" t="str">
        <x:v>BS1200P</x:v>
      </x:c>
      <x:c r="T47" s="108" t="str"/>
      <x:c r="U47" s="108" t="str"/>
      <x:c r="V47" s="108" t="str">
        <x:v>furniture-installation-role.csv</x:v>
      </x:c>
      <x:c r="W47" s="108" t="str">
        <x:v>{"selector_kind":"type_name","selector_value":"BS1200P","installation_role":"fixed_furniture","basis":"类型与 VVD 中 1200×331×693 mm 几何共同识别为岛台固定柜体单元","confidence":"0.99","human_review_required":"no","status":"implemented"}</x:v>
      </x:c>
      <x:c r="X47" s="108" t="str">
        <x:v>由原家具安装角色登记无损迁移</x:v>
      </x:c>
    </x:row>
    <x:row r="48" ht="34" customHeight="1">
      <x:c r="A48" s="108" t="str">
        <x:v>FUR-ROLE-SRC-777685e49639</x:v>
      </x:c>
      <x:c r="B48" s="108" t="str">
        <x:v>INT1</x:v>
      </x:c>
      <x:c r="C48" s="108" t="str">
        <x:v>INT1/S-701</x:v>
      </x:c>
      <x:c r="D48" s="108" t="str">
        <x:v>BW1200 安装角色</x:v>
      </x:c>
      <x:c r="E48" s="108" t="str">
        <x:v>project_ifc_classification</x:v>
      </x:c>
      <x:c r="F48" s="108" t="str">
        <x:v>2504 GBTB Yanlord Zhuhai.ifc</x:v>
      </x:c>
      <x:c r="G48" s="108" t="str"/>
      <x:c r="H48" s="108" t="str">
        <x:v>2504 GBTB Yanlord Zhuhai.ifc</x:v>
      </x:c>
      <x:c r="I48" s="108" t="str">
        <x:v>9a4dac0fceaa4d274c604e59f0c73d187b6db7aaece0a028f51d8d036449df1c</x:v>
      </x:c>
      <x:c r="J48" s="108" t="str">
        <x:v>type_name=BW1200</x:v>
      </x:c>
      <x:c r="K48" s="108" t="str">
        <x:v>类型与 KITCHEN 中 1200×717×888 mm 几何共同识别为固定地柜</x:v>
      </x:c>
      <x:c r="L48" s="108" t="str">
        <x:v>installation_role=fixed_furniture</x:v>
      </x:c>
      <x:c r="M48" s="108" t="str">
        <x:v>最终产品安装节点、连接件或现场完成状态</x:v>
      </x:c>
      <x:c r="N48" s="108" t="str">
        <x:v>implemented</x:v>
      </x:c>
      <x:c r="O48" s="108" t="str">
        <x:v>0.99</x:v>
      </x:c>
      <x:c r="P48" s="108" t="str">
        <x:v>no</x:v>
      </x:c>
      <x:c r="Q48" s="108" t="str">
        <x:v>no</x:v>
      </x:c>
      <x:c r="R48" s="108" t="str"/>
      <x:c r="S48" s="108" t="str">
        <x:v>BW1200</x:v>
      </x:c>
      <x:c r="T48" s="108" t="str"/>
      <x:c r="U48" s="108" t="str"/>
      <x:c r="V48" s="108" t="str">
        <x:v>furniture-installation-role.csv</x:v>
      </x:c>
      <x:c r="W48" s="108" t="str">
        <x:v>{"selector_kind":"type_name","selector_value":"BW1200","installation_role":"fixed_furniture","basis":"类型与 KITCHEN 中 1200×717×888 mm 几何共同识别为固定地柜","confidence":"0.99","human_review_required":"no","status":"implemented"}</x:v>
      </x:c>
      <x:c r="X48" s="108" t="str">
        <x:v>由原家具安装角色登记无损迁移</x:v>
      </x:c>
    </x:row>
    <x:row r="49" ht="34" customHeight="1">
      <x:c r="A49" s="108" t="str">
        <x:v>FUR-ROLE-SRC-4f435c4b8701</x:v>
      </x:c>
      <x:c r="B49" s="108" t="str">
        <x:v>INT1</x:v>
      </x:c>
      <x:c r="C49" s="108" t="str">
        <x:v>INT1/S-701</x:v>
      </x:c>
      <x:c r="D49" s="108" t="str">
        <x:v>BW450 安装角色</x:v>
      </x:c>
      <x:c r="E49" s="108" t="str">
        <x:v>project_ifc_classification</x:v>
      </x:c>
      <x:c r="F49" s="108" t="str">
        <x:v>2504 GBTB Yanlord Zhuhai.ifc</x:v>
      </x:c>
      <x:c r="G49" s="108" t="str"/>
      <x:c r="H49" s="108" t="str">
        <x:v>2504 GBTB Yanlord Zhuhai.ifc</x:v>
      </x:c>
      <x:c r="I49" s="108" t="str">
        <x:v>9a4dac0fceaa4d274c604e59f0c73d187b6db7aaece0a028f51d8d036449df1c</x:v>
      </x:c>
      <x:c r="J49" s="108" t="str">
        <x:v>type_name=BW450</x:v>
      </x:c>
      <x:c r="K49" s="108" t="str">
        <x:v>类型与 KITCHEN 中 450×717×888 mm 几何共同识别为固定地柜</x:v>
      </x:c>
      <x:c r="L49" s="108" t="str">
        <x:v>installation_role=fixed_furniture</x:v>
      </x:c>
      <x:c r="M49" s="108" t="str">
        <x:v>最终产品安装节点、连接件或现场完成状态</x:v>
      </x:c>
      <x:c r="N49" s="108" t="str">
        <x:v>implemented</x:v>
      </x:c>
      <x:c r="O49" s="108" t="str">
        <x:v>0.99</x:v>
      </x:c>
      <x:c r="P49" s="108" t="str">
        <x:v>no</x:v>
      </x:c>
      <x:c r="Q49" s="108" t="str">
        <x:v>no</x:v>
      </x:c>
      <x:c r="R49" s="108" t="str"/>
      <x:c r="S49" s="108" t="str">
        <x:v>BW450</x:v>
      </x:c>
      <x:c r="T49" s="108" t="str"/>
      <x:c r="U49" s="108" t="str"/>
      <x:c r="V49" s="108" t="str">
        <x:v>furniture-installation-role.csv</x:v>
      </x:c>
      <x:c r="W49" s="108" t="str">
        <x:v>{"selector_kind":"type_name","selector_value":"BW450","installation_role":"fixed_furniture","basis":"类型与 KITCHEN 中 450×717×888 mm 几何共同识别为固定地柜","confidence":"0.99","human_review_required":"no","status":"implemented"}</x:v>
      </x:c>
      <x:c r="X49" s="108" t="str">
        <x:v>由原家具安装角色登记无损迁移</x:v>
      </x:c>
    </x:row>
    <x:row r="50" ht="34" customHeight="1">
      <x:c r="A50" s="108" t="str">
        <x:v>FUR-ROLE-SRC-c54be9a54d2f</x:v>
      </x:c>
      <x:c r="B50" s="108" t="str">
        <x:v>INT1</x:v>
      </x:c>
      <x:c r="C50" s="108" t="str">
        <x:v>INT1/S-701</x:v>
      </x:c>
      <x:c r="D50" s="108" t="str">
        <x:v>BW900 安装角色</x:v>
      </x:c>
      <x:c r="E50" s="108" t="str">
        <x:v>project_ifc_classification</x:v>
      </x:c>
      <x:c r="F50" s="108" t="str">
        <x:v>2504 GBTB Yanlord Zhuhai.ifc</x:v>
      </x:c>
      <x:c r="G50" s="108" t="str"/>
      <x:c r="H50" s="108" t="str">
        <x:v>2504 GBTB Yanlord Zhuhai.ifc</x:v>
      </x:c>
      <x:c r="I50" s="108" t="str">
        <x:v>9a4dac0fceaa4d274c604e59f0c73d187b6db7aaece0a028f51d8d036449df1c</x:v>
      </x:c>
      <x:c r="J50" s="108" t="str">
        <x:v>type_name=BW900</x:v>
      </x:c>
      <x:c r="K50" s="108" t="str">
        <x:v>类型与 KITCHEN 中 900×717×888 mm 几何共同识别为固定地柜</x:v>
      </x:c>
      <x:c r="L50" s="108" t="str">
        <x:v>installation_role=fixed_furniture</x:v>
      </x:c>
      <x:c r="M50" s="108" t="str">
        <x:v>最终产品安装节点、连接件或现场完成状态</x:v>
      </x:c>
      <x:c r="N50" s="108" t="str">
        <x:v>implemented</x:v>
      </x:c>
      <x:c r="O50" s="108" t="str">
        <x:v>0.99</x:v>
      </x:c>
      <x:c r="P50" s="108" t="str">
        <x:v>no</x:v>
      </x:c>
      <x:c r="Q50" s="108" t="str">
        <x:v>no</x:v>
      </x:c>
      <x:c r="R50" s="108" t="str"/>
      <x:c r="S50" s="108" t="str">
        <x:v>BW900</x:v>
      </x:c>
      <x:c r="T50" s="108" t="str"/>
      <x:c r="U50" s="108" t="str"/>
      <x:c r="V50" s="108" t="str">
        <x:v>furniture-installation-role.csv</x:v>
      </x:c>
      <x:c r="W50" s="108" t="str">
        <x:v>{"selector_kind":"type_name","selector_value":"BW900","installation_role":"fixed_furniture","basis":"类型与 KITCHEN 中 900×717×888 mm 几何共同识别为固定地柜","confidence":"0.99","human_review_required":"no","status":"implemented"}</x:v>
      </x:c>
      <x:c r="X50" s="108" t="str">
        <x:v>由原家具安装角色登记无损迁移</x:v>
      </x:c>
    </x:row>
    <x:row r="51" ht="34" customHeight="1">
      <x:c r="A51" s="108" t="str">
        <x:v>FUR-ROLE-SRC-ee3c462e0a75</x:v>
      </x:c>
      <x:c r="B51" s="108" t="str">
        <x:v>INT1</x:v>
      </x:c>
      <x:c r="C51" s="108" t="str">
        <x:v>INT1/S-701</x:v>
      </x:c>
      <x:c r="D51" s="108" t="str">
        <x:v>CAB-A 安装角色</x:v>
      </x:c>
      <x:c r="E51" s="108" t="str">
        <x:v>project_ifc_classification</x:v>
      </x:c>
      <x:c r="F51" s="108" t="str">
        <x:v>2504 GBTB Yanlord Zhuhai.ifc</x:v>
      </x:c>
      <x:c r="G51" s="108" t="str"/>
      <x:c r="H51" s="108" t="str">
        <x:v>2504 GBTB Yanlord Zhuhai.ifc</x:v>
      </x:c>
      <x:c r="I51" s="108" t="str">
        <x:v>9a4dac0fceaa4d274c604e59f0c73d187b6db7aaece0a028f51d8d036449df1c</x:v>
      </x:c>
      <x:c r="J51" s="108" t="str">
        <x:v>type_name=CAB-A</x:v>
      </x:c>
      <x:c r="K51" s="108" t="str">
        <x:v>类型与 VVD 中 617×600×2383 mm 全高几何共同识别为固定高柜</x:v>
      </x:c>
      <x:c r="L51" s="108" t="str">
        <x:v>installation_role=fixed_furniture</x:v>
      </x:c>
      <x:c r="M51" s="108" t="str">
        <x:v>最终产品安装节点、连接件或现场完成状态</x:v>
      </x:c>
      <x:c r="N51" s="108" t="str">
        <x:v>implemented</x:v>
      </x:c>
      <x:c r="O51" s="108" t="str">
        <x:v>0.99</x:v>
      </x:c>
      <x:c r="P51" s="108" t="str">
        <x:v>no</x:v>
      </x:c>
      <x:c r="Q51" s="108" t="str">
        <x:v>no</x:v>
      </x:c>
      <x:c r="R51" s="108" t="str"/>
      <x:c r="S51" s="108" t="str">
        <x:v>CAB-A</x:v>
      </x:c>
      <x:c r="T51" s="108" t="str"/>
      <x:c r="U51" s="108" t="str"/>
      <x:c r="V51" s="108" t="str">
        <x:v>furniture-installation-role.csv</x:v>
      </x:c>
      <x:c r="W51" s="108" t="str">
        <x:v>{"selector_kind":"type_name","selector_value":"CAB-A","installation_role":"fixed_furniture","basis":"类型与 VVD 中 617×600×2383 mm 全高几何共同识别为固定高柜","confidence":"0.99","human_review_required":"no","status":"implemented"}</x:v>
      </x:c>
      <x:c r="X51" s="108" t="str">
        <x:v>由原家具安装角色登记无损迁移</x:v>
      </x:c>
    </x:row>
    <x:row r="52" ht="34" customHeight="1">
      <x:c r="A52" s="108" t="str">
        <x:v>FUR-ROLE-SRC-76c64e8de6b5</x:v>
      </x:c>
      <x:c r="B52" s="108" t="str">
        <x:v>INT1</x:v>
      </x:c>
      <x:c r="C52" s="108" t="str">
        <x:v>INT1/S-701</x:v>
      </x:c>
      <x:c r="D52" s="108" t="str">
        <x:v>D600P 安装角色</x:v>
      </x:c>
      <x:c r="E52" s="108" t="str">
        <x:v>project_ifc_classification</x:v>
      </x:c>
      <x:c r="F52" s="108" t="str">
        <x:v>2504 GBTB Yanlord Zhuhai.ifc</x:v>
      </x:c>
      <x:c r="G52" s="108" t="str"/>
      <x:c r="H52" s="108" t="str">
        <x:v>2504 GBTB Yanlord Zhuhai.ifc</x:v>
      </x:c>
      <x:c r="I52" s="108" t="str">
        <x:v>9a4dac0fceaa4d274c604e59f0c73d187b6db7aaece0a028f51d8d036449df1c</x:v>
      </x:c>
      <x:c r="J52" s="108" t="str">
        <x:v>type_name=D600P</x:v>
      </x:c>
      <x:c r="K52" s="108" t="str">
        <x:v>类型与 VVD 中 600×19×587 mm 薄板几何共同识别为固定柜门板</x:v>
      </x:c>
      <x:c r="L52" s="108" t="str">
        <x:v>installation_role=fixed_furniture</x:v>
      </x:c>
      <x:c r="M52" s="108" t="str">
        <x:v>最终产品安装节点、连接件或现场完成状态</x:v>
      </x:c>
      <x:c r="N52" s="108" t="str">
        <x:v>implemented</x:v>
      </x:c>
      <x:c r="O52" s="108" t="str">
        <x:v>0.99</x:v>
      </x:c>
      <x:c r="P52" s="108" t="str">
        <x:v>no</x:v>
      </x:c>
      <x:c r="Q52" s="108" t="str">
        <x:v>no</x:v>
      </x:c>
      <x:c r="R52" s="108" t="str"/>
      <x:c r="S52" s="108" t="str">
        <x:v>D600P</x:v>
      </x:c>
      <x:c r="T52" s="108" t="str"/>
      <x:c r="U52" s="108" t="str"/>
      <x:c r="V52" s="108" t="str">
        <x:v>furniture-installation-role.csv</x:v>
      </x:c>
      <x:c r="W52" s="108" t="str">
        <x:v>{"selector_kind":"type_name","selector_value":"D600P","installation_role":"fixed_furniture","basis":"类型与 VVD 中 600×19×587 mm 薄板几何共同识别为固定柜门板","confidence":"0.99","human_review_required":"no","status":"implemented"}</x:v>
      </x:c>
      <x:c r="X52" s="108" t="str">
        <x:v>由原家具安装角色登记无损迁移</x:v>
      </x:c>
    </x:row>
    <x:row r="53" ht="34" customHeight="1">
      <x:c r="A53" s="108" t="str">
        <x:v>FUR-ROLE-SRC-3bf990fecc5c</x:v>
      </x:c>
      <x:c r="B53" s="108" t="str">
        <x:v>INT1</x:v>
      </x:c>
      <x:c r="C53" s="108" t="str">
        <x:v>INT1/S-701</x:v>
      </x:c>
      <x:c r="D53" s="108" t="str">
        <x:v>FRE01 安装角色</x:v>
      </x:c>
      <x:c r="E53" s="108" t="str">
        <x:v>project_ifc_classification</x:v>
      </x:c>
      <x:c r="F53" s="108" t="str">
        <x:v>2504 GBTB Yanlord Zhuhai.ifc</x:v>
      </x:c>
      <x:c r="G53" s="108" t="str"/>
      <x:c r="H53" s="108" t="str">
        <x:v>2504 GBTB Yanlord Zhuhai.ifc</x:v>
      </x:c>
      <x:c r="I53" s="108" t="str">
        <x:v>9a4dac0fceaa4d274c604e59f0c73d187b6db7aaece0a028f51d8d036449df1c</x:v>
      </x:c>
      <x:c r="J53" s="108" t="str">
        <x:v>type_name=FRE01</x:v>
      </x:c>
      <x:c r="K53" s="108" t="str">
        <x:v>类型、VVD 容器与 617×600×1523 mm 柜体包络共同证明安装位置受控</x:v>
      </x:c>
      <x:c r="L53" s="108" t="str">
        <x:v>installation_role=fixed_furniture</x:v>
      </x:c>
      <x:c r="M53" s="108" t="str">
        <x:v>最终产品安装节点、连接件或现场完成状态</x:v>
      </x:c>
      <x:c r="N53" s="108" t="str">
        <x:v>implemented</x:v>
      </x:c>
      <x:c r="O53" s="108" t="str">
        <x:v>0.99</x:v>
      </x:c>
      <x:c r="P53" s="108" t="str">
        <x:v>no</x:v>
      </x:c>
      <x:c r="Q53" s="108" t="str">
        <x:v>no</x:v>
      </x:c>
      <x:c r="R53" s="108" t="str"/>
      <x:c r="S53" s="108" t="str">
        <x:v>FRE01</x:v>
      </x:c>
      <x:c r="T53" s="108" t="str"/>
      <x:c r="U53" s="108" t="str"/>
      <x:c r="V53" s="108" t="str">
        <x:v>furniture-installation-role.csv</x:v>
      </x:c>
      <x:c r="W53" s="108" t="str">
        <x:v>{"selector_kind":"type_name","selector_value":"FRE01","installation_role":"fixed_furniture","basis":"类型、VVD 容器与 617×600×1523 mm 柜体包络共同证明安装位置受控","confidence":"0.99","human_review_required":"no","status":"implemented"}</x:v>
      </x:c>
      <x:c r="X53" s="108" t="str">
        <x:v>由原家具安装角色登记无损迁移</x:v>
      </x:c>
    </x:row>
    <x:row r="54" ht="34" customHeight="1">
      <x:c r="A54" s="108" t="str">
        <x:v>FUR-ROLE-SRC-285701a98ac5</x:v>
      </x:c>
      <x:c r="B54" s="108" t="str">
        <x:v>INT1</x:v>
      </x:c>
      <x:c r="C54" s="108" t="str">
        <x:v>INT1/S-701</x:v>
      </x:c>
      <x:c r="D54" s="108" t="str">
        <x:v>FRE02 安装角色</x:v>
      </x:c>
      <x:c r="E54" s="108" t="str">
        <x:v>project_ifc_classification</x:v>
      </x:c>
      <x:c r="F54" s="108" t="str">
        <x:v>2504 GBTB Yanlord Zhuhai.ifc</x:v>
      </x:c>
      <x:c r="G54" s="108" t="str"/>
      <x:c r="H54" s="108" t="str">
        <x:v>2504 GBTB Yanlord Zhuhai.ifc</x:v>
      </x:c>
      <x:c r="I54" s="108" t="str">
        <x:v>9a4dac0fceaa4d274c604e59f0c73d187b6db7aaece0a028f51d8d036449df1c</x:v>
      </x:c>
      <x:c r="J54" s="108" t="str">
        <x:v>type_name=FRE02</x:v>
      </x:c>
      <x:c r="K54" s="108" t="str">
        <x:v>类型、VVD 容器与 617×600×860 mm 柜体包络共同证明安装位置受控</x:v>
      </x:c>
      <x:c r="L54" s="108" t="str">
        <x:v>installation_role=fixed_furniture</x:v>
      </x:c>
      <x:c r="M54" s="108" t="str">
        <x:v>最终产品安装节点、连接件或现场完成状态</x:v>
      </x:c>
      <x:c r="N54" s="108" t="str">
        <x:v>implemented</x:v>
      </x:c>
      <x:c r="O54" s="108" t="str">
        <x:v>0.99</x:v>
      </x:c>
      <x:c r="P54" s="108" t="str">
        <x:v>no</x:v>
      </x:c>
      <x:c r="Q54" s="108" t="str">
        <x:v>no</x:v>
      </x:c>
      <x:c r="R54" s="108" t="str"/>
      <x:c r="S54" s="108" t="str">
        <x:v>FRE02</x:v>
      </x:c>
      <x:c r="T54" s="108" t="str"/>
      <x:c r="U54" s="108" t="str"/>
      <x:c r="V54" s="108" t="str">
        <x:v>furniture-installation-role.csv</x:v>
      </x:c>
      <x:c r="W54" s="108" t="str">
        <x:v>{"selector_kind":"type_name","selector_value":"FRE02","installation_role":"fixed_furniture","basis":"类型、VVD 容器与 617×600×860 mm 柜体包络共同证明安装位置受控","confidence":"0.99","human_review_required":"no","status":"implemented"}</x:v>
      </x:c>
      <x:c r="X54" s="108" t="str">
        <x:v>由原家具安装角色登记无损迁移</x:v>
      </x:c>
    </x:row>
    <x:row r="55" ht="34" customHeight="1">
      <x:c r="A55" s="108" t="str">
        <x:v>FUR-ROLE-SRC-0b252fa6a7af</x:v>
      </x:c>
      <x:c r="B55" s="108" t="str">
        <x:v>INT1</x:v>
      </x:c>
      <x:c r="C55" s="108" t="str">
        <x:v>INT1/S-701</x:v>
      </x:c>
      <x:c r="D55" s="108" t="str">
        <x:v>FRI01 安装角色</x:v>
      </x:c>
      <x:c r="E55" s="108" t="str">
        <x:v>project_ifc_classification</x:v>
      </x:c>
      <x:c r="F55" s="108" t="str">
        <x:v>2504 GBTB Yanlord Zhuhai.ifc</x:v>
      </x:c>
      <x:c r="G55" s="108" t="str"/>
      <x:c r="H55" s="108" t="str">
        <x:v>2504 GBTB Yanlord Zhuhai.ifc</x:v>
      </x:c>
      <x:c r="I55" s="108" t="str">
        <x:v>9a4dac0fceaa4d274c604e59f0c73d187b6db7aaece0a028f51d8d036449df1c</x:v>
      </x:c>
      <x:c r="J55" s="108" t="str">
        <x:v>type_name=FRI01</x:v>
      </x:c>
      <x:c r="K55" s="108" t="str">
        <x:v>类型、VVD 容器与 617×600×1523 mm 柜体包络共同证明安装位置受控</x:v>
      </x:c>
      <x:c r="L55" s="108" t="str">
        <x:v>installation_role=fixed_furniture</x:v>
      </x:c>
      <x:c r="M55" s="108" t="str">
        <x:v>最终产品安装节点、连接件或现场完成状态</x:v>
      </x:c>
      <x:c r="N55" s="108" t="str">
        <x:v>implemented</x:v>
      </x:c>
      <x:c r="O55" s="108" t="str">
        <x:v>0.99</x:v>
      </x:c>
      <x:c r="P55" s="108" t="str">
        <x:v>no</x:v>
      </x:c>
      <x:c r="Q55" s="108" t="str">
        <x:v>no</x:v>
      </x:c>
      <x:c r="R55" s="108" t="str"/>
      <x:c r="S55" s="108" t="str">
        <x:v>FRI01</x:v>
      </x:c>
      <x:c r="T55" s="108" t="str"/>
      <x:c r="U55" s="108" t="str"/>
      <x:c r="V55" s="108" t="str">
        <x:v>furniture-installation-role.csv</x:v>
      </x:c>
      <x:c r="W55" s="108" t="str">
        <x:v>{"selector_kind":"type_name","selector_value":"FRI01","installation_role":"fixed_furniture","basis":"类型、VVD 容器与 617×600×1523 mm 柜体包络共同证明安装位置受控","confidence":"0.99","human_review_required":"no","status":"implemented"}</x:v>
      </x:c>
      <x:c r="X55" s="108" t="str">
        <x:v>由原家具安装角色登记无损迁移</x:v>
      </x:c>
    </x:row>
    <x:row r="56" ht="34" customHeight="1">
      <x:c r="A56" s="108" t="str">
        <x:v>FUR-ROLE-SRC-29655a725411</x:v>
      </x:c>
      <x:c r="B56" s="108" t="str">
        <x:v>INT1</x:v>
      </x:c>
      <x:c r="C56" s="108" t="str">
        <x:v>INT1/S-701</x:v>
      </x:c>
      <x:c r="D56" s="108" t="str">
        <x:v>FRI02 安装角色</x:v>
      </x:c>
      <x:c r="E56" s="108" t="str">
        <x:v>project_ifc_classification</x:v>
      </x:c>
      <x:c r="F56" s="108" t="str">
        <x:v>2504 GBTB Yanlord Zhuhai.ifc</x:v>
      </x:c>
      <x:c r="G56" s="108" t="str"/>
      <x:c r="H56" s="108" t="str">
        <x:v>2504 GBTB Yanlord Zhuhai.ifc</x:v>
      </x:c>
      <x:c r="I56" s="108" t="str">
        <x:v>9a4dac0fceaa4d274c604e59f0c73d187b6db7aaece0a028f51d8d036449df1c</x:v>
      </x:c>
      <x:c r="J56" s="108" t="str">
        <x:v>type_name=FRI02</x:v>
      </x:c>
      <x:c r="K56" s="108" t="str">
        <x:v>类型、VVD 容器与 617×600×860 mm 柜体包络共同证明安装位置受控</x:v>
      </x:c>
      <x:c r="L56" s="108" t="str">
        <x:v>installation_role=fixed_furniture</x:v>
      </x:c>
      <x:c r="M56" s="108" t="str">
        <x:v>最终产品安装节点、连接件或现场完成状态</x:v>
      </x:c>
      <x:c r="N56" s="108" t="str">
        <x:v>implemented</x:v>
      </x:c>
      <x:c r="O56" s="108" t="str">
        <x:v>0.99</x:v>
      </x:c>
      <x:c r="P56" s="108" t="str">
        <x:v>no</x:v>
      </x:c>
      <x:c r="Q56" s="108" t="str">
        <x:v>no</x:v>
      </x:c>
      <x:c r="R56" s="108" t="str"/>
      <x:c r="S56" s="108" t="str">
        <x:v>FRI02</x:v>
      </x:c>
      <x:c r="T56" s="108" t="str"/>
      <x:c r="U56" s="108" t="str"/>
      <x:c r="V56" s="108" t="str">
        <x:v>furniture-installation-role.csv</x:v>
      </x:c>
      <x:c r="W56" s="108" t="str">
        <x:v>{"selector_kind":"type_name","selector_value":"FRI02","installation_role":"fixed_furniture","basis":"类型、VVD 容器与 617×600×860 mm 柜体包络共同证明安装位置受控","confidence":"0.99","human_review_required":"no","status":"implemented"}</x:v>
      </x:c>
      <x:c r="X56" s="108" t="str">
        <x:v>由原家具安装角色登记无损迁移</x:v>
      </x:c>
    </x:row>
    <x:row r="57" ht="34" customHeight="1">
      <x:c r="A57" s="108" t="str">
        <x:v>FUR-ROLE-SRC-480b2e28aff0</x:v>
      </x:c>
      <x:c r="B57" s="108" t="str">
        <x:v>INT1</x:v>
      </x:c>
      <x:c r="C57" s="108" t="str">
        <x:v>INT1/S-701</x:v>
      </x:c>
      <x:c r="D57" s="108" t="str">
        <x:v>GP01 安装角色</x:v>
      </x:c>
      <x:c r="E57" s="108" t="str">
        <x:v>project_ifc_classification</x:v>
      </x:c>
      <x:c r="F57" s="108" t="str">
        <x:v>2504 GBTB Yanlord Zhuhai.ifc</x:v>
      </x:c>
      <x:c r="G57" s="108" t="str"/>
      <x:c r="H57" s="108" t="str">
        <x:v>2504 GBTB Yanlord Zhuhai.ifc</x:v>
      </x:c>
      <x:c r="I57" s="108" t="str">
        <x:v>9a4dac0fceaa4d274c604e59f0c73d187b6db7aaece0a028f51d8d036449df1c</x:v>
      </x:c>
      <x:c r="J57" s="108" t="str">
        <x:v>type_name=GP01</x:v>
      </x:c>
      <x:c r="K57" s="108" t="str">
        <x:v>类型、NBW 容器与 670×30×2365 mm 全高薄板几何共同识别为固定板件</x:v>
      </x:c>
      <x:c r="L57" s="108" t="str">
        <x:v>installation_role=fixed_furniture</x:v>
      </x:c>
      <x:c r="M57" s="108" t="str">
        <x:v>最终产品安装节点、连接件或现场完成状态</x:v>
      </x:c>
      <x:c r="N57" s="108" t="str">
        <x:v>implemented</x:v>
      </x:c>
      <x:c r="O57" s="108" t="str">
        <x:v>0.99</x:v>
      </x:c>
      <x:c r="P57" s="108" t="str">
        <x:v>no</x:v>
      </x:c>
      <x:c r="Q57" s="108" t="str">
        <x:v>no</x:v>
      </x:c>
      <x:c r="R57" s="108" t="str"/>
      <x:c r="S57" s="108" t="str">
        <x:v>GP01</x:v>
      </x:c>
      <x:c r="T57" s="108" t="str"/>
      <x:c r="U57" s="108" t="str"/>
      <x:c r="V57" s="108" t="str">
        <x:v>furniture-installation-role.csv</x:v>
      </x:c>
      <x:c r="W57" s="108" t="str">
        <x:v>{"selector_kind":"type_name","selector_value":"GP01","installation_role":"fixed_furniture","basis":"类型、NBW 容器与 670×30×2365 mm 全高薄板几何共同识别为固定板件","confidence":"0.99","human_review_required":"no","status":"implemented"}</x:v>
      </x:c>
      <x:c r="X57" s="108" t="str">
        <x:v>由原家具安装角色登记无损迁移</x:v>
      </x:c>
    </x:row>
    <x:row r="58" ht="34" customHeight="1">
      <x:c r="A58" s="108" t="str">
        <x:v>FUR-ROLE-SRC-81479cf0c9fe</x:v>
      </x:c>
      <x:c r="B58" s="108" t="str">
        <x:v>INT1</x:v>
      </x:c>
      <x:c r="C58" s="108" t="str">
        <x:v>INT1/S-701</x:v>
      </x:c>
      <x:c r="D58" s="108" t="str">
        <x:v>GP01S 安装角色</x:v>
      </x:c>
      <x:c r="E58" s="108" t="str">
        <x:v>project_ifc_classification</x:v>
      </x:c>
      <x:c r="F58" s="108" t="str">
        <x:v>2504 GBTB Yanlord Zhuhai.ifc</x:v>
      </x:c>
      <x:c r="G58" s="108" t="str"/>
      <x:c r="H58" s="108" t="str">
        <x:v>2504 GBTB Yanlord Zhuhai.ifc</x:v>
      </x:c>
      <x:c r="I58" s="108" t="str">
        <x:v>9a4dac0fceaa4d274c604e59f0c73d187b6db7aaece0a028f51d8d036449df1c</x:v>
      </x:c>
      <x:c r="J58" s="108" t="str">
        <x:v>type_name=GP01S</x:v>
      </x:c>
      <x:c r="K58" s="108" t="str">
        <x:v>类型、NBW 容器与 520×100×2400 mm 全高几何共同识别为固定板件</x:v>
      </x:c>
      <x:c r="L58" s="108" t="str">
        <x:v>installation_role=fixed_furniture</x:v>
      </x:c>
      <x:c r="M58" s="108" t="str">
        <x:v>最终产品安装节点、连接件或现场完成状态</x:v>
      </x:c>
      <x:c r="N58" s="108" t="str">
        <x:v>implemented</x:v>
      </x:c>
      <x:c r="O58" s="108" t="str">
        <x:v>0.99</x:v>
      </x:c>
      <x:c r="P58" s="108" t="str">
        <x:v>no</x:v>
      </x:c>
      <x:c r="Q58" s="108" t="str">
        <x:v>no</x:v>
      </x:c>
      <x:c r="R58" s="108" t="str"/>
      <x:c r="S58" s="108" t="str">
        <x:v>GP01S</x:v>
      </x:c>
      <x:c r="T58" s="108" t="str"/>
      <x:c r="U58" s="108" t="str"/>
      <x:c r="V58" s="108" t="str">
        <x:v>furniture-installation-role.csv</x:v>
      </x:c>
      <x:c r="W58" s="108" t="str">
        <x:v>{"selector_kind":"type_name","selector_value":"GP01S","installation_role":"fixed_furniture","basis":"类型、NBW 容器与 520×100×2400 mm 全高几何共同识别为固定板件","confidence":"0.99","human_review_required":"no","status":"implemented"}</x:v>
      </x:c>
      <x:c r="X58" s="108" t="str">
        <x:v>由原家具安装角色登记无损迁移</x:v>
      </x:c>
    </x:row>
    <x:row r="59" ht="34" customHeight="1">
      <x:c r="A59" s="108" t="str">
        <x:v>FUR-ROLE-SRC-4a1237247c6a</x:v>
      </x:c>
      <x:c r="B59" s="108" t="str">
        <x:v>INT1</x:v>
      </x:c>
      <x:c r="C59" s="108" t="str">
        <x:v>INT1/S-701</x:v>
      </x:c>
      <x:c r="D59" s="108" t="str">
        <x:v>H08 安装角色</x:v>
      </x:c>
      <x:c r="E59" s="108" t="str">
        <x:v>project_ifc_classification</x:v>
      </x:c>
      <x:c r="F59" s="108" t="str">
        <x:v>2504 GBTB Yanlord Zhuhai.ifc</x:v>
      </x:c>
      <x:c r="G59" s="108" t="str"/>
      <x:c r="H59" s="108" t="str">
        <x:v>2504 GBTB Yanlord Zhuhai.ifc</x:v>
      </x:c>
      <x:c r="I59" s="108" t="str">
        <x:v>9a4dac0fceaa4d274c604e59f0c73d187b6db7aaece0a028f51d8d036449df1c</x:v>
      </x:c>
      <x:c r="J59" s="108" t="str">
        <x:v>type_name=H08</x:v>
      </x:c>
      <x:c r="K59" s="108" t="str">
        <x:v>用户确认 H08 为柜子把手并固定安装</x:v>
      </x:c>
      <x:c r="L59" s="108" t="str">
        <x:v>installation_role=fixed_furniture</x:v>
      </x:c>
      <x:c r="M59" s="108" t="str">
        <x:v>最终产品安装节点、连接件或现场完成状态</x:v>
      </x:c>
      <x:c r="N59" s="108" t="str">
        <x:v>implemented</x:v>
      </x:c>
      <x:c r="O59" s="108" t="str">
        <x:v>1.00</x:v>
      </x:c>
      <x:c r="P59" s="108" t="str">
        <x:v>no</x:v>
      </x:c>
      <x:c r="Q59" s="108" t="str">
        <x:v>no</x:v>
      </x:c>
      <x:c r="R59" s="108" t="str"/>
      <x:c r="S59" s="108" t="str">
        <x:v>H08</x:v>
      </x:c>
      <x:c r="T59" s="108" t="str"/>
      <x:c r="U59" s="108" t="str"/>
      <x:c r="V59" s="108" t="str">
        <x:v>furniture-installation-role.csv</x:v>
      </x:c>
      <x:c r="W59" s="108" t="str">
        <x:v>{"selector_kind":"type_name","selector_value":"H08","installation_role":"fixed_furniture","basis":"用户确认 H08 为柜子把手并固定安装","confidence":"1.00","human_review_required":"no","status":"implemented"}</x:v>
      </x:c>
      <x:c r="X59" s="108" t="str">
        <x:v>由原家具安装角色登记无损迁移</x:v>
      </x:c>
    </x:row>
    <x:row r="60" ht="34" customHeight="1">
      <x:c r="A60" s="108" t="str">
        <x:v>FUR-ROLE-SRC-5d81a30c45ba</x:v>
      </x:c>
      <x:c r="B60" s="108" t="str">
        <x:v>INT1</x:v>
      </x:c>
      <x:c r="C60" s="108" t="str">
        <x:v>INT1/S-701</x:v>
      </x:c>
      <x:c r="D60" s="108" t="str">
        <x:v>H09 安装角色</x:v>
      </x:c>
      <x:c r="E60" s="108" t="str">
        <x:v>project_ifc_classification</x:v>
      </x:c>
      <x:c r="F60" s="108" t="str">
        <x:v>2504 GBTB Yanlord Zhuhai.ifc</x:v>
      </x:c>
      <x:c r="G60" s="108" t="str"/>
      <x:c r="H60" s="108" t="str">
        <x:v>2504 GBTB Yanlord Zhuhai.ifc</x:v>
      </x:c>
      <x:c r="I60" s="108" t="str">
        <x:v>9a4dac0fceaa4d274c604e59f0c73d187b6db7aaece0a028f51d8d036449df1c</x:v>
      </x:c>
      <x:c r="J60" s="108" t="str">
        <x:v>type_name=H09</x:v>
      </x:c>
      <x:c r="K60" s="108" t="str">
        <x:v>与已确认 H08 同系列且具有相同 55×48×2323 mm 柜门把手几何</x:v>
      </x:c>
      <x:c r="L60" s="108" t="str">
        <x:v>installation_role=fixed_furniture</x:v>
      </x:c>
      <x:c r="M60" s="108" t="str">
        <x:v>最终产品安装节点、连接件或现场完成状态</x:v>
      </x:c>
      <x:c r="N60" s="108" t="str">
        <x:v>implemented</x:v>
      </x:c>
      <x:c r="O60" s="108" t="str">
        <x:v>0.99</x:v>
      </x:c>
      <x:c r="P60" s="108" t="str">
        <x:v>no</x:v>
      </x:c>
      <x:c r="Q60" s="108" t="str">
        <x:v>no</x:v>
      </x:c>
      <x:c r="R60" s="108" t="str"/>
      <x:c r="S60" s="108" t="str">
        <x:v>H09</x:v>
      </x:c>
      <x:c r="T60" s="108" t="str"/>
      <x:c r="U60" s="108" t="str"/>
      <x:c r="V60" s="108" t="str">
        <x:v>furniture-installation-role.csv</x:v>
      </x:c>
      <x:c r="W60" s="108" t="str">
        <x:v>{"selector_kind":"type_name","selector_value":"H09","installation_role":"fixed_furniture","basis":"与已确认 H08 同系列且具有相同 55×48×2323 mm 柜门把手几何","confidence":"0.99","human_review_required":"no","status":"implemented"}</x:v>
      </x:c>
      <x:c r="X60" s="108" t="str">
        <x:v>由原家具安装角色登记无损迁移</x:v>
      </x:c>
    </x:row>
    <x:row r="61" ht="34" customHeight="1">
      <x:c r="A61" s="108" t="str">
        <x:v>FUR-ROLE-SRC-710779d5e112</x:v>
      </x:c>
      <x:c r="B61" s="108" t="str">
        <x:v>INT1</x:v>
      </x:c>
      <x:c r="C61" s="108" t="str">
        <x:v>INT1/S-701</x:v>
      </x:c>
      <x:c r="D61" s="108" t="str">
        <x:v>HC01 安装角色</x:v>
      </x:c>
      <x:c r="E61" s="108" t="str">
        <x:v>project_ifc_classification</x:v>
      </x:c>
      <x:c r="F61" s="108" t="str">
        <x:v>2504 GBTB Yanlord Zhuhai.ifc</x:v>
      </x:c>
      <x:c r="G61" s="108" t="str"/>
      <x:c r="H61" s="108" t="str">
        <x:v>2504 GBTB Yanlord Zhuhai.ifc</x:v>
      </x:c>
      <x:c r="I61" s="108" t="str">
        <x:v>9a4dac0fceaa4d274c604e59f0c73d187b6db7aaece0a028f51d8d036449df1c</x:v>
      </x:c>
      <x:c r="J61" s="108" t="str">
        <x:v>type_name=HC01</x:v>
      </x:c>
      <x:c r="K61" s="108" t="str">
        <x:v>类型、KITCHEN 容器与 47×47×50 mm 五金几何共同识别为固定柜体五金</x:v>
      </x:c>
      <x:c r="L61" s="108" t="str">
        <x:v>installation_role=fixed_furniture</x:v>
      </x:c>
      <x:c r="M61" s="108" t="str">
        <x:v>最终产品安装节点、连接件或现场完成状态</x:v>
      </x:c>
      <x:c r="N61" s="108" t="str">
        <x:v>implemented</x:v>
      </x:c>
      <x:c r="O61" s="108" t="str">
        <x:v>0.99</x:v>
      </x:c>
      <x:c r="P61" s="108" t="str">
        <x:v>no</x:v>
      </x:c>
      <x:c r="Q61" s="108" t="str">
        <x:v>no</x:v>
      </x:c>
      <x:c r="R61" s="108" t="str"/>
      <x:c r="S61" s="108" t="str">
        <x:v>HC01</x:v>
      </x:c>
      <x:c r="T61" s="108" t="str"/>
      <x:c r="U61" s="108" t="str"/>
      <x:c r="V61" s="108" t="str">
        <x:v>furniture-installation-role.csv</x:v>
      </x:c>
      <x:c r="W61" s="108" t="str">
        <x:v>{"selector_kind":"type_name","selector_value":"HC01","installation_role":"fixed_furniture","basis":"类型、KITCHEN 容器与 47×47×50 mm 五金几何共同识别为固定柜体五金","confidence":"0.99","human_review_required":"no","status":"implemented"}</x:v>
      </x:c>
      <x:c r="X61" s="108" t="str">
        <x:v>由原家具安装角色登记无损迁移</x:v>
      </x:c>
    </x:row>
    <x:row r="62" ht="34" customHeight="1">
      <x:c r="A62" s="108" t="str">
        <x:v>FUR-ROLE-SRC-44dc573a968b</x:v>
      </x:c>
      <x:c r="B62" s="108" t="str">
        <x:v>INT1</x:v>
      </x:c>
      <x:c r="C62" s="108" t="str">
        <x:v>INT1/S-701</x:v>
      </x:c>
      <x:c r="D62" s="108" t="str">
        <x:v>HC02 安装角色</x:v>
      </x:c>
      <x:c r="E62" s="108" t="str">
        <x:v>project_ifc_classification</x:v>
      </x:c>
      <x:c r="F62" s="108" t="str">
        <x:v>2504 GBTB Yanlord Zhuhai.ifc</x:v>
      </x:c>
      <x:c r="G62" s="108" t="str"/>
      <x:c r="H62" s="108" t="str">
        <x:v>2504 GBTB Yanlord Zhuhai.ifc</x:v>
      </x:c>
      <x:c r="I62" s="108" t="str">
        <x:v>9a4dac0fceaa4d274c604e59f0c73d187b6db7aaece0a028f51d8d036449df1c</x:v>
      </x:c>
      <x:c r="J62" s="108" t="str">
        <x:v>type_name=HC02</x:v>
      </x:c>
      <x:c r="K62" s="108" t="str">
        <x:v>类型、KITCHEN 容器与 78×80×50 mm 五金几何共同识别为固定柜体五金</x:v>
      </x:c>
      <x:c r="L62" s="108" t="str">
        <x:v>installation_role=fixed_furniture</x:v>
      </x:c>
      <x:c r="M62" s="108" t="str">
        <x:v>最终产品安装节点、连接件或现场完成状态</x:v>
      </x:c>
      <x:c r="N62" s="108" t="str">
        <x:v>implemented</x:v>
      </x:c>
      <x:c r="O62" s="108" t="str">
        <x:v>0.99</x:v>
      </x:c>
      <x:c r="P62" s="108" t="str">
        <x:v>no</x:v>
      </x:c>
      <x:c r="Q62" s="108" t="str">
        <x:v>no</x:v>
      </x:c>
      <x:c r="R62" s="108" t="str"/>
      <x:c r="S62" s="108" t="str">
        <x:v>HC02</x:v>
      </x:c>
      <x:c r="T62" s="108" t="str"/>
      <x:c r="U62" s="108" t="str"/>
      <x:c r="V62" s="108" t="str">
        <x:v>furniture-installation-role.csv</x:v>
      </x:c>
      <x:c r="W62" s="108" t="str">
        <x:v>{"selector_kind":"type_name","selector_value":"HC02","installation_role":"fixed_furniture","basis":"类型、KITCHEN 容器与 78×80×50 mm 五金几何共同识别为固定柜体五金","confidence":"0.99","human_review_required":"no","status":"implemented"}</x:v>
      </x:c>
      <x:c r="X62" s="108" t="str">
        <x:v>由原家具安装角色登记无损迁移</x:v>
      </x:c>
    </x:row>
    <x:row r="63" ht="34" customHeight="1">
      <x:c r="A63" s="108" t="str">
        <x:v>FUR-ROLE-SRC-1e42d0dee4f3</x:v>
      </x:c>
      <x:c r="B63" s="108" t="str">
        <x:v>INT1</x:v>
      </x:c>
      <x:c r="C63" s="108" t="str">
        <x:v>INT1/S-701</x:v>
      </x:c>
      <x:c r="D63" s="108" t="str">
        <x:v>HD1200 安装角色</x:v>
      </x:c>
      <x:c r="E63" s="108" t="str">
        <x:v>project_ifc_classification</x:v>
      </x:c>
      <x:c r="F63" s="108" t="str">
        <x:v>2504 GBTB Yanlord Zhuhai.ifc</x:v>
      </x:c>
      <x:c r="G63" s="108" t="str"/>
      <x:c r="H63" s="108" t="str">
        <x:v>2504 GBTB Yanlord Zhuhai.ifc</x:v>
      </x:c>
      <x:c r="I63" s="108" t="str">
        <x:v>9a4dac0fceaa4d274c604e59f0c73d187b6db7aaece0a028f51d8d036449df1c</x:v>
      </x:c>
      <x:c r="J63" s="108" t="str">
        <x:v>type_name=HD1200</x:v>
      </x:c>
      <x:c r="K63" s="108" t="str">
        <x:v>类型、KITCHEN 容器与 1200×47×50 mm 条状几何共同识别为固定柜体五金</x:v>
      </x:c>
      <x:c r="L63" s="108" t="str">
        <x:v>installation_role=fixed_furniture</x:v>
      </x:c>
      <x:c r="M63" s="108" t="str">
        <x:v>最终产品安装节点、连接件或现场完成状态</x:v>
      </x:c>
      <x:c r="N63" s="108" t="str">
        <x:v>implemented</x:v>
      </x:c>
      <x:c r="O63" s="108" t="str">
        <x:v>0.99</x:v>
      </x:c>
      <x:c r="P63" s="108" t="str">
        <x:v>no</x:v>
      </x:c>
      <x:c r="Q63" s="108" t="str">
        <x:v>no</x:v>
      </x:c>
      <x:c r="R63" s="108" t="str"/>
      <x:c r="S63" s="108" t="str">
        <x:v>HD1200</x:v>
      </x:c>
      <x:c r="T63" s="108" t="str"/>
      <x:c r="U63" s="108" t="str"/>
      <x:c r="V63" s="108" t="str">
        <x:v>furniture-installation-role.csv</x:v>
      </x:c>
      <x:c r="W63" s="108" t="str">
        <x:v>{"selector_kind":"type_name","selector_value":"HD1200","installation_role":"fixed_furniture","basis":"类型、KITCHEN 容器与 1200×47×50 mm 条状几何共同识别为固定柜体五金","confidence":"0.99","human_review_required":"no","status":"implemented"}</x:v>
      </x:c>
      <x:c r="X63" s="108" t="str">
        <x:v>由原家具安装角色登记无损迁移</x:v>
      </x:c>
    </x:row>
    <x:row r="64" ht="34" customHeight="1">
      <x:c r="A64" s="108" t="str">
        <x:v>FUR-ROLE-SRC-f6a7a110e14f</x:v>
      </x:c>
      <x:c r="B64" s="108" t="str">
        <x:v>INT1</x:v>
      </x:c>
      <x:c r="C64" s="108" t="str">
        <x:v>INT1/S-701</x:v>
      </x:c>
      <x:c r="D64" s="108" t="str">
        <x:v>HD450 安装角色</x:v>
      </x:c>
      <x:c r="E64" s="108" t="str">
        <x:v>project_ifc_classification</x:v>
      </x:c>
      <x:c r="F64" s="108" t="str">
        <x:v>2504 GBTB Yanlord Zhuhai.ifc</x:v>
      </x:c>
      <x:c r="G64" s="108" t="str"/>
      <x:c r="H64" s="108" t="str">
        <x:v>2504 GBTB Yanlord Zhuhai.ifc</x:v>
      </x:c>
      <x:c r="I64" s="108" t="str">
        <x:v>9a4dac0fceaa4d274c604e59f0c73d187b6db7aaece0a028f51d8d036449df1c</x:v>
      </x:c>
      <x:c r="J64" s="108" t="str">
        <x:v>type_name=HD450</x:v>
      </x:c>
      <x:c r="K64" s="108" t="str">
        <x:v>类型、KITCHEN 容器与 450×47×50 mm 条状几何共同识别为固定柜体五金</x:v>
      </x:c>
      <x:c r="L64" s="108" t="str">
        <x:v>installation_role=fixed_furniture</x:v>
      </x:c>
      <x:c r="M64" s="108" t="str">
        <x:v>最终产品安装节点、连接件或现场完成状态</x:v>
      </x:c>
      <x:c r="N64" s="108" t="str">
        <x:v>implemented</x:v>
      </x:c>
      <x:c r="O64" s="108" t="str">
        <x:v>0.99</x:v>
      </x:c>
      <x:c r="P64" s="108" t="str">
        <x:v>no</x:v>
      </x:c>
      <x:c r="Q64" s="108" t="str">
        <x:v>no</x:v>
      </x:c>
      <x:c r="R64" s="108" t="str"/>
      <x:c r="S64" s="108" t="str">
        <x:v>HD450</x:v>
      </x:c>
      <x:c r="T64" s="108" t="str"/>
      <x:c r="U64" s="108" t="str"/>
      <x:c r="V64" s="108" t="str">
        <x:v>furniture-installation-role.csv</x:v>
      </x:c>
      <x:c r="W64" s="108" t="str">
        <x:v>{"selector_kind":"type_name","selector_value":"HD450","installation_role":"fixed_furniture","basis":"类型、KITCHEN 容器与 450×47×50 mm 条状几何共同识别为固定柜体五金","confidence":"0.99","human_review_required":"no","status":"implemented"}</x:v>
      </x:c>
      <x:c r="X64" s="108" t="str">
        <x:v>由原家具安装角色登记无损迁移</x:v>
      </x:c>
    </x:row>
    <x:row r="65" ht="34" customHeight="1">
      <x:c r="A65" s="108" t="str">
        <x:v>FUR-ROLE-SRC-2adec8773b7b</x:v>
      </x:c>
      <x:c r="B65" s="108" t="str">
        <x:v>INT1</x:v>
      </x:c>
      <x:c r="C65" s="108" t="str">
        <x:v>INT1/S-701</x:v>
      </x:c>
      <x:c r="D65" s="108" t="str">
        <x:v>HD600 安装角色</x:v>
      </x:c>
      <x:c r="E65" s="108" t="str">
        <x:v>project_ifc_classification</x:v>
      </x:c>
      <x:c r="F65" s="108" t="str">
        <x:v>2504 GBTB Yanlord Zhuhai.ifc</x:v>
      </x:c>
      <x:c r="G65" s="108" t="str"/>
      <x:c r="H65" s="108" t="str">
        <x:v>2504 GBTB Yanlord Zhuhai.ifc</x:v>
      </x:c>
      <x:c r="I65" s="108" t="str">
        <x:v>9a4dac0fceaa4d274c604e59f0c73d187b6db7aaece0a028f51d8d036449df1c</x:v>
      </x:c>
      <x:c r="J65" s="108" t="str">
        <x:v>type_name=HD600</x:v>
      </x:c>
      <x:c r="K65" s="108" t="str">
        <x:v>类型、KITCHEN 容器与 600×47×50 mm 条状几何共同识别为固定柜体五金</x:v>
      </x:c>
      <x:c r="L65" s="108" t="str">
        <x:v>installation_role=fixed_furniture</x:v>
      </x:c>
      <x:c r="M65" s="108" t="str">
        <x:v>最终产品安装节点、连接件或现场完成状态</x:v>
      </x:c>
      <x:c r="N65" s="108" t="str">
        <x:v>implemented</x:v>
      </x:c>
      <x:c r="O65" s="108" t="str">
        <x:v>0.99</x:v>
      </x:c>
      <x:c r="P65" s="108" t="str">
        <x:v>no</x:v>
      </x:c>
      <x:c r="Q65" s="108" t="str">
        <x:v>no</x:v>
      </x:c>
      <x:c r="R65" s="108" t="str"/>
      <x:c r="S65" s="108" t="str">
        <x:v>HD600</x:v>
      </x:c>
      <x:c r="T65" s="108" t="str"/>
      <x:c r="U65" s="108" t="str"/>
      <x:c r="V65" s="108" t="str">
        <x:v>furniture-installation-role.csv</x:v>
      </x:c>
      <x:c r="W65" s="108" t="str">
        <x:v>{"selector_kind":"type_name","selector_value":"HD600","installation_role":"fixed_furniture","basis":"类型、KITCHEN 容器与 600×47×50 mm 条状几何共同识别为固定柜体五金","confidence":"0.99","human_review_required":"no","status":"implemented"}</x:v>
      </x:c>
      <x:c r="X65" s="108" t="str">
        <x:v>由原家具安装角色登记无损迁移</x:v>
      </x:c>
    </x:row>
    <x:row r="66" ht="34" customHeight="1">
      <x:c r="A66" s="108" t="str">
        <x:v>FUR-ROLE-SRC-2d622a9790d3</x:v>
      </x:c>
      <x:c r="B66" s="108" t="str">
        <x:v>INT1</x:v>
      </x:c>
      <x:c r="C66" s="108" t="str">
        <x:v>INT1/S-701</x:v>
      </x:c>
      <x:c r="D66" s="108" t="str">
        <x:v>HD900 安装角色</x:v>
      </x:c>
      <x:c r="E66" s="108" t="str">
        <x:v>project_ifc_classification</x:v>
      </x:c>
      <x:c r="F66" s="108" t="str">
        <x:v>2504 GBTB Yanlord Zhuhai.ifc</x:v>
      </x:c>
      <x:c r="G66" s="108" t="str"/>
      <x:c r="H66" s="108" t="str">
        <x:v>2504 GBTB Yanlord Zhuhai.ifc</x:v>
      </x:c>
      <x:c r="I66" s="108" t="str">
        <x:v>9a4dac0fceaa4d274c604e59f0c73d187b6db7aaece0a028f51d8d036449df1c</x:v>
      </x:c>
      <x:c r="J66" s="108" t="str">
        <x:v>type_name=HD900</x:v>
      </x:c>
      <x:c r="K66" s="108" t="str">
        <x:v>类型、KITCHEN 容器与 900×47×50 mm 条状几何共同识别为固定柜体五金</x:v>
      </x:c>
      <x:c r="L66" s="108" t="str">
        <x:v>installation_role=fixed_furniture</x:v>
      </x:c>
      <x:c r="M66" s="108" t="str">
        <x:v>最终产品安装节点、连接件或现场完成状态</x:v>
      </x:c>
      <x:c r="N66" s="108" t="str">
        <x:v>implemented</x:v>
      </x:c>
      <x:c r="O66" s="108" t="str">
        <x:v>0.99</x:v>
      </x:c>
      <x:c r="P66" s="108" t="str">
        <x:v>no</x:v>
      </x:c>
      <x:c r="Q66" s="108" t="str">
        <x:v>no</x:v>
      </x:c>
      <x:c r="R66" s="108" t="str"/>
      <x:c r="S66" s="108" t="str">
        <x:v>HD900</x:v>
      </x:c>
      <x:c r="T66" s="108" t="str"/>
      <x:c r="U66" s="108" t="str"/>
      <x:c r="V66" s="108" t="str">
        <x:v>furniture-installation-role.csv</x:v>
      </x:c>
      <x:c r="W66" s="108" t="str">
        <x:v>{"selector_kind":"type_name","selector_value":"HD900","installation_role":"fixed_furniture","basis":"类型、KITCHEN 容器与 900×47×50 mm 条状几何共同识别为固定柜体五金","confidence":"0.99","human_review_required":"no","status":"implemented"}</x:v>
      </x:c>
      <x:c r="X66" s="108" t="str">
        <x:v>由原家具安装角色登记无损迁移</x:v>
      </x:c>
    </x:row>
    <x:row r="67" ht="34" customHeight="1">
      <x:c r="A67" s="108" t="str">
        <x:v>FUR-ROLE-SRC-da2263c37835</x:v>
      </x:c>
      <x:c r="B67" s="108" t="str">
        <x:v>INT1</x:v>
      </x:c>
      <x:c r="C67" s="108" t="str">
        <x:v>INT1/S-701</x:v>
      </x:c>
      <x:c r="D67" s="108" t="str">
        <x:v>HIMA01 安装角色</x:v>
      </x:c>
      <x:c r="E67" s="108" t="str">
        <x:v>project_ifc_classification</x:v>
      </x:c>
      <x:c r="F67" s="108" t="str">
        <x:v>2504 GBTB Yanlord Zhuhai.ifc</x:v>
      </x:c>
      <x:c r="G67" s="108" t="str"/>
      <x:c r="H67" s="108" t="str">
        <x:v>2504 GBTB Yanlord Zhuhai.ifc</x:v>
      </x:c>
      <x:c r="I67" s="108" t="str">
        <x:v>9a4dac0fceaa4d274c604e59f0c73d187b6db7aaece0a028f51d8d036449df1c</x:v>
      </x:c>
      <x:c r="J67" s="108" t="str">
        <x:v>type_name=HIMA01</x:v>
      </x:c>
      <x:c r="K67" s="108" t="str">
        <x:v>类型、BATHM 容器与 826×1685×999 mm 几何共同识别为主卫固定柜体</x:v>
      </x:c>
      <x:c r="L67" s="108" t="str">
        <x:v>installation_role=fixed_furniture</x:v>
      </x:c>
      <x:c r="M67" s="108" t="str">
        <x:v>最终产品安装节点、连接件或现场完成状态</x:v>
      </x:c>
      <x:c r="N67" s="108" t="str">
        <x:v>implemented</x:v>
      </x:c>
      <x:c r="O67" s="108" t="str">
        <x:v>0.99</x:v>
      </x:c>
      <x:c r="P67" s="108" t="str">
        <x:v>no</x:v>
      </x:c>
      <x:c r="Q67" s="108" t="str">
        <x:v>no</x:v>
      </x:c>
      <x:c r="R67" s="108" t="str"/>
      <x:c r="S67" s="108" t="str">
        <x:v>HIMA01</x:v>
      </x:c>
      <x:c r="T67" s="108" t="str"/>
      <x:c r="U67" s="108" t="str"/>
      <x:c r="V67" s="108" t="str">
        <x:v>furniture-installation-role.csv</x:v>
      </x:c>
      <x:c r="W67" s="108" t="str">
        <x:v>{"selector_kind":"type_name","selector_value":"HIMA01","installation_role":"fixed_furniture","basis":"类型、BATHM 容器与 826×1685×999 mm 几何共同识别为主卫固定柜体","confidence":"0.99","human_review_required":"no","status":"implemented"}</x:v>
      </x:c>
      <x:c r="X67" s="108" t="str">
        <x:v>由原家具安装角色登记无损迁移</x:v>
      </x:c>
    </x:row>
    <x:row r="68" ht="34" customHeight="1">
      <x:c r="A68" s="108" t="str">
        <x:v>FUR-ROLE-SRC-8dfd30236337</x:v>
      </x:c>
      <x:c r="B68" s="108" t="str">
        <x:v>INT1</x:v>
      </x:c>
      <x:c r="C68" s="108" t="str">
        <x:v>INT1/S-701</x:v>
      </x:c>
      <x:c r="D68" s="108" t="str">
        <x:v>HL 安装角色</x:v>
      </x:c>
      <x:c r="E68" s="108" t="str">
        <x:v>project_ifc_classification</x:v>
      </x:c>
      <x:c r="F68" s="108" t="str">
        <x:v>2504 GBTB Yanlord Zhuhai.ifc</x:v>
      </x:c>
      <x:c r="G68" s="108" t="str"/>
      <x:c r="H68" s="108" t="str">
        <x:v>2504 GBTB Yanlord Zhuhai.ifc</x:v>
      </x:c>
      <x:c r="I68" s="108" t="str">
        <x:v>9a4dac0fceaa4d274c604e59f0c73d187b6db7aaece0a028f51d8d036449df1c</x:v>
      </x:c>
      <x:c r="J68" s="108" t="str">
        <x:v>type_name=HL</x:v>
      </x:c>
      <x:c r="K68" s="108" t="str">
        <x:v>类型、VVD 容器与 53×30×2323 mm 全高条状几何共同识别为固定柜体五金</x:v>
      </x:c>
      <x:c r="L68" s="108" t="str">
        <x:v>installation_role=fixed_furniture</x:v>
      </x:c>
      <x:c r="M68" s="108" t="str">
        <x:v>最终产品安装节点、连接件或现场完成状态</x:v>
      </x:c>
      <x:c r="N68" s="108" t="str">
        <x:v>implemented</x:v>
      </x:c>
      <x:c r="O68" s="108" t="str">
        <x:v>0.99</x:v>
      </x:c>
      <x:c r="P68" s="108" t="str">
        <x:v>no</x:v>
      </x:c>
      <x:c r="Q68" s="108" t="str">
        <x:v>no</x:v>
      </x:c>
      <x:c r="R68" s="108" t="str"/>
      <x:c r="S68" s="108" t="str">
        <x:v>HL</x:v>
      </x:c>
      <x:c r="T68" s="108" t="str"/>
      <x:c r="U68" s="108" t="str"/>
      <x:c r="V68" s="108" t="str">
        <x:v>furniture-installation-role.csv</x:v>
      </x:c>
      <x:c r="W68" s="108" t="str">
        <x:v>{"selector_kind":"type_name","selector_value":"HL","installation_role":"fixed_furniture","basis":"类型、VVD 容器与 53×30×2323 mm 全高条状几何共同识别为固定柜体五金","confidence":"0.99","human_review_required":"no","status":"implemented"}</x:v>
      </x:c>
      <x:c r="X68" s="108" t="str">
        <x:v>由原家具安装角色登记无损迁移</x:v>
      </x:c>
    </x:row>
    <x:row r="69" ht="34" customHeight="1">
      <x:c r="A69" s="108" t="str">
        <x:v>FUR-ROLE-SRC-033ca04bbd17</x:v>
      </x:c>
      <x:c r="B69" s="108" t="str">
        <x:v>INT1</x:v>
      </x:c>
      <x:c r="C69" s="108" t="str">
        <x:v>INT1/S-701</x:v>
      </x:c>
      <x:c r="D69" s="108" t="str">
        <x:v>HP 安装角色</x:v>
      </x:c>
      <x:c r="E69" s="108" t="str">
        <x:v>project_ifc_classification</x:v>
      </x:c>
      <x:c r="F69" s="108" t="str">
        <x:v>2504 GBTB Yanlord Zhuhai.ifc</x:v>
      </x:c>
      <x:c r="G69" s="108" t="str"/>
      <x:c r="H69" s="108" t="str">
        <x:v>2504 GBTB Yanlord Zhuhai.ifc</x:v>
      </x:c>
      <x:c r="I69" s="108" t="str">
        <x:v>9a4dac0fceaa4d274c604e59f0c73d187b6db7aaece0a028f51d8d036449df1c</x:v>
      </x:c>
      <x:c r="J69" s="108" t="str">
        <x:v>type_name=HP</x:v>
      </x:c>
      <x:c r="K69" s="108" t="str">
        <x:v>类型、VVD 容器与 55×360×2323 mm 全高几何共同识别为固定柜体部件</x:v>
      </x:c>
      <x:c r="L69" s="108" t="str">
        <x:v>installation_role=fixed_furniture</x:v>
      </x:c>
      <x:c r="M69" s="108" t="str">
        <x:v>最终产品安装节点、连接件或现场完成状态</x:v>
      </x:c>
      <x:c r="N69" s="108" t="str">
        <x:v>implemented</x:v>
      </x:c>
      <x:c r="O69" s="108" t="str">
        <x:v>0.99</x:v>
      </x:c>
      <x:c r="P69" s="108" t="str">
        <x:v>no</x:v>
      </x:c>
      <x:c r="Q69" s="108" t="str">
        <x:v>no</x:v>
      </x:c>
      <x:c r="R69" s="108" t="str"/>
      <x:c r="S69" s="108" t="str">
        <x:v>HP</x:v>
      </x:c>
      <x:c r="T69" s="108" t="str"/>
      <x:c r="U69" s="108" t="str"/>
      <x:c r="V69" s="108" t="str">
        <x:v>furniture-installation-role.csv</x:v>
      </x:c>
      <x:c r="W69" s="108" t="str">
        <x:v>{"selector_kind":"type_name","selector_value":"HP","installation_role":"fixed_furniture","basis":"类型、VVD 容器与 55×360×2323 mm 全高几何共同识别为固定柜体部件","confidence":"0.99","human_review_required":"no","status":"implemented"}</x:v>
      </x:c>
      <x:c r="X69" s="108" t="str">
        <x:v>由原家具安装角色登记无损迁移</x:v>
      </x:c>
    </x:row>
    <x:row r="70" ht="34" customHeight="1">
      <x:c r="A70" s="108" t="str">
        <x:v>FUR-ROLE-SRC-93cc989216af</x:v>
      </x:c>
      <x:c r="B70" s="108" t="str">
        <x:v>INT1</x:v>
      </x:c>
      <x:c r="C70" s="108" t="str">
        <x:v>INT1/S-701</x:v>
      </x:c>
      <x:c r="D70" s="108" t="str">
        <x:v>Libelle 安装角色</x:v>
      </x:c>
      <x:c r="E70" s="108" t="str">
        <x:v>project_ifc_classification</x:v>
      </x:c>
      <x:c r="F70" s="108" t="str">
        <x:v>2504 GBTB Yanlord Zhuhai.ifc</x:v>
      </x:c>
      <x:c r="G70" s="108" t="str"/>
      <x:c r="H70" s="108" t="str">
        <x:v>2504 GBTB Yanlord Zhuhai.ifc</x:v>
      </x:c>
      <x:c r="I70" s="108" t="str">
        <x:v>9a4dac0fceaa4d274c604e59f0c73d187b6db7aaece0a028f51d8d036449df1c</x:v>
      </x:c>
      <x:c r="J70" s="108" t="str">
        <x:v>type_name=Libelle</x:v>
      </x:c>
      <x:c r="K70" s="108" t="str">
        <x:v>IfcFurnitureType.SHELF、KITCHEN 容器与 1342×337×2400 mm 全高层架几何共同证明固定安装</x:v>
      </x:c>
      <x:c r="L70" s="108" t="str">
        <x:v>installation_role=fixed_furniture</x:v>
      </x:c>
      <x:c r="M70" s="108" t="str">
        <x:v>最终产品安装节点、连接件或现场完成状态</x:v>
      </x:c>
      <x:c r="N70" s="108" t="str">
        <x:v>implemented</x:v>
      </x:c>
      <x:c r="O70" s="108" t="str">
        <x:v>0.99</x:v>
      </x:c>
      <x:c r="P70" s="108" t="str">
        <x:v>no</x:v>
      </x:c>
      <x:c r="Q70" s="108" t="str">
        <x:v>no</x:v>
      </x:c>
      <x:c r="R70" s="108" t="str"/>
      <x:c r="S70" s="108" t="str">
        <x:v>Libelle</x:v>
      </x:c>
      <x:c r="T70" s="108" t="str"/>
      <x:c r="U70" s="108" t="str"/>
      <x:c r="V70" s="108" t="str">
        <x:v>furniture-installation-role.csv</x:v>
      </x:c>
      <x:c r="W70" s="108" t="str">
        <x:v>{"selector_kind":"type_name","selector_value":"Libelle","installation_role":"fixed_furniture","basis":"IfcFurnitureType.SHELF、KITCHEN 容器与 1342×337×2400 mm 全高层架几何共同证明固定安装","confidence":"0.99","human_review_required":"no","status":"implemented"}</x:v>
      </x:c>
      <x:c r="X70" s="108" t="str">
        <x:v>由原家具安装角色登记无损迁移</x:v>
      </x:c>
    </x:row>
    <x:row r="71" ht="34" customHeight="1">
      <x:c r="A71" s="108" t="str">
        <x:v>FUR-ROLE-SRC-d65509fd42c3</x:v>
      </x:c>
      <x:c r="B71" s="108" t="str">
        <x:v>INT1</x:v>
      </x:c>
      <x:c r="C71" s="108" t="str">
        <x:v>INT1/S-701</x:v>
      </x:c>
      <x:c r="D71" s="108" t="str">
        <x:v>PAN01 安装角色</x:v>
      </x:c>
      <x:c r="E71" s="108" t="str">
        <x:v>project_ifc_classification</x:v>
      </x:c>
      <x:c r="F71" s="108" t="str">
        <x:v>2504 GBTB Yanlord Zhuhai.ifc</x:v>
      </x:c>
      <x:c r="G71" s="108" t="str"/>
      <x:c r="H71" s="108" t="str">
        <x:v>2504 GBTB Yanlord Zhuhai.ifc</x:v>
      </x:c>
      <x:c r="I71" s="108" t="str">
        <x:v>9a4dac0fceaa4d274c604e59f0c73d187b6db7aaece0a028f51d8d036449df1c</x:v>
      </x:c>
      <x:c r="J71" s="108" t="str">
        <x:v>type_name=PAN01</x:v>
      </x:c>
      <x:c r="K71" s="108" t="str">
        <x:v>类型、VVD 容器与 617×300×2383 mm 全高几何共同识别为固定柜体板件</x:v>
      </x:c>
      <x:c r="L71" s="108" t="str">
        <x:v>installation_role=fixed_furniture</x:v>
      </x:c>
      <x:c r="M71" s="108" t="str">
        <x:v>最终产品安装节点、连接件或现场完成状态</x:v>
      </x:c>
      <x:c r="N71" s="108" t="str">
        <x:v>implemented</x:v>
      </x:c>
      <x:c r="O71" s="108" t="str">
        <x:v>0.99</x:v>
      </x:c>
      <x:c r="P71" s="108" t="str">
        <x:v>no</x:v>
      </x:c>
      <x:c r="Q71" s="108" t="str">
        <x:v>no</x:v>
      </x:c>
      <x:c r="R71" s="108" t="str"/>
      <x:c r="S71" s="108" t="str">
        <x:v>PAN01</x:v>
      </x:c>
      <x:c r="T71" s="108" t="str"/>
      <x:c r="U71" s="108" t="str"/>
      <x:c r="V71" s="108" t="str">
        <x:v>furniture-installation-role.csv</x:v>
      </x:c>
      <x:c r="W71" s="108" t="str">
        <x:v>{"selector_kind":"type_name","selector_value":"PAN01","installation_role":"fixed_furniture","basis":"类型、VVD 容器与 617×300×2383 mm 全高几何共同识别为固定柜体板件","confidence":"0.99","human_review_required":"no","status":"implemented"}</x:v>
      </x:c>
      <x:c r="X71" s="108" t="str">
        <x:v>由原家具安装角色登记无损迁移</x:v>
      </x:c>
    </x:row>
    <x:row r="72" ht="34" customHeight="1">
      <x:c r="A72" s="108" t="str">
        <x:v>FUR-ROLE-SRC-f6d5349c02e3</x:v>
      </x:c>
      <x:c r="B72" s="108" t="str">
        <x:v>INT1</x:v>
      </x:c>
      <x:c r="C72" s="108" t="str">
        <x:v>INT1/S-701</x:v>
      </x:c>
      <x:c r="D72" s="108" t="str">
        <x:v>POT1200 安装角色</x:v>
      </x:c>
      <x:c r="E72" s="108" t="str">
        <x:v>project_ifc_classification</x:v>
      </x:c>
      <x:c r="F72" s="108" t="str">
        <x:v>2504 GBTB Yanlord Zhuhai.ifc</x:v>
      </x:c>
      <x:c r="G72" s="108" t="str"/>
      <x:c r="H72" s="108" t="str">
        <x:v>2504 GBTB Yanlord Zhuhai.ifc</x:v>
      </x:c>
      <x:c r="I72" s="108" t="str">
        <x:v>9a4dac0fceaa4d274c604e59f0c73d187b6db7aaece0a028f51d8d036449df1c</x:v>
      </x:c>
      <x:c r="J72" s="108" t="str">
        <x:v>type_name=POT1200</x:v>
      </x:c>
      <x:c r="K72" s="108" t="str">
        <x:v>类型、VVD 容器与 1200×300×179 mm 几何共同识别为固定柜体内部单元</x:v>
      </x:c>
      <x:c r="L72" s="108" t="str">
        <x:v>installation_role=fixed_furniture</x:v>
      </x:c>
      <x:c r="M72" s="108" t="str">
        <x:v>最终产品安装节点、连接件或现场完成状态</x:v>
      </x:c>
      <x:c r="N72" s="108" t="str">
        <x:v>implemented</x:v>
      </x:c>
      <x:c r="O72" s="108" t="str">
        <x:v>0.99</x:v>
      </x:c>
      <x:c r="P72" s="108" t="str">
        <x:v>no</x:v>
      </x:c>
      <x:c r="Q72" s="108" t="str">
        <x:v>no</x:v>
      </x:c>
      <x:c r="R72" s="108" t="str"/>
      <x:c r="S72" s="108" t="str">
        <x:v>POT1200</x:v>
      </x:c>
      <x:c r="T72" s="108" t="str"/>
      <x:c r="U72" s="108" t="str"/>
      <x:c r="V72" s="108" t="str">
        <x:v>furniture-installation-role.csv</x:v>
      </x:c>
      <x:c r="W72" s="108" t="str">
        <x:v>{"selector_kind":"type_name","selector_value":"POT1200","installation_role":"fixed_furniture","basis":"类型、VVD 容器与 1200×300×179 mm 几何共同识别为固定柜体内部单元","confidence":"0.99","human_review_required":"no","status":"implemented"}</x:v>
      </x:c>
      <x:c r="X72" s="108" t="str">
        <x:v>由原家具安装角色登记无损迁移</x:v>
      </x:c>
    </x:row>
    <x:row r="73" ht="34" customHeight="1">
      <x:c r="A73" s="108" t="str">
        <x:v>FUR-ROLE-SRC-b9971d78f419</x:v>
      </x:c>
      <x:c r="B73" s="108" t="str">
        <x:v>INT1</x:v>
      </x:c>
      <x:c r="C73" s="108" t="str">
        <x:v>INT1/S-701</x:v>
      </x:c>
      <x:c r="D73" s="108" t="str">
        <x:v>POT600 安装角色</x:v>
      </x:c>
      <x:c r="E73" s="108" t="str">
        <x:v>project_ifc_classification</x:v>
      </x:c>
      <x:c r="F73" s="108" t="str">
        <x:v>2504 GBTB Yanlord Zhuhai.ifc</x:v>
      </x:c>
      <x:c r="G73" s="108" t="str"/>
      <x:c r="H73" s="108" t="str">
        <x:v>2504 GBTB Yanlord Zhuhai.ifc</x:v>
      </x:c>
      <x:c r="I73" s="108" t="str">
        <x:v>9a4dac0fceaa4d274c604e59f0c73d187b6db7aaece0a028f51d8d036449df1c</x:v>
      </x:c>
      <x:c r="J73" s="108" t="str">
        <x:v>type_name=POT600</x:v>
      </x:c>
      <x:c r="K73" s="108" t="str">
        <x:v>类型、VVD 容器与 600×300×179 mm 几何共同识别为固定柜体内部单元</x:v>
      </x:c>
      <x:c r="L73" s="108" t="str">
        <x:v>installation_role=fixed_furniture</x:v>
      </x:c>
      <x:c r="M73" s="108" t="str">
        <x:v>最终产品安装节点、连接件或现场完成状态</x:v>
      </x:c>
      <x:c r="N73" s="108" t="str">
        <x:v>implemented</x:v>
      </x:c>
      <x:c r="O73" s="108" t="str">
        <x:v>0.99</x:v>
      </x:c>
      <x:c r="P73" s="108" t="str">
        <x:v>no</x:v>
      </x:c>
      <x:c r="Q73" s="108" t="str">
        <x:v>no</x:v>
      </x:c>
      <x:c r="R73" s="108" t="str"/>
      <x:c r="S73" s="108" t="str">
        <x:v>POT600</x:v>
      </x:c>
      <x:c r="T73" s="108" t="str"/>
      <x:c r="U73" s="108" t="str"/>
      <x:c r="V73" s="108" t="str">
        <x:v>furniture-installation-role.csv</x:v>
      </x:c>
      <x:c r="W73" s="108" t="str">
        <x:v>{"selector_kind":"type_name","selector_value":"POT600","installation_role":"fixed_furniture","basis":"类型、VVD 容器与 600×300×179 mm 几何共同识别为固定柜体内部单元","confidence":"0.99","human_review_required":"no","status":"implemented"}</x:v>
      </x:c>
      <x:c r="X73" s="108" t="str">
        <x:v>由原家具安装角色登记无损迁移</x:v>
      </x:c>
    </x:row>
    <x:row r="74" ht="34" customHeight="1">
      <x:c r="A74" s="108" t="str">
        <x:v>FUR-ROLE-SRC-b69eaad9f039</x:v>
      </x:c>
      <x:c r="B74" s="108" t="str">
        <x:v>INT1</x:v>
      </x:c>
      <x:c r="C74" s="108" t="str">
        <x:v>INT1/S-701</x:v>
      </x:c>
      <x:c r="D74" s="108" t="str">
        <x:v>SB01 安装角色</x:v>
      </x:c>
      <x:c r="E74" s="108" t="str">
        <x:v>project_ifc_classification</x:v>
      </x:c>
      <x:c r="F74" s="108" t="str">
        <x:v>2504 GBTB Yanlord Zhuhai.ifc</x:v>
      </x:c>
      <x:c r="G74" s="108" t="str"/>
      <x:c r="H74" s="108" t="str">
        <x:v>2504 GBTB Yanlord Zhuhai.ifc</x:v>
      </x:c>
      <x:c r="I74" s="108" t="str">
        <x:v>9a4dac0fceaa4d274c604e59f0c73d187b6db7aaece0a028f51d8d036449df1c</x:v>
      </x:c>
      <x:c r="J74" s="108" t="str">
        <x:v>type_name=SB01</x:v>
      </x:c>
      <x:c r="K74" s="108" t="str">
        <x:v>类型、VVD 容器与 16 mm 薄板几何共同识别为固定柜体侧板</x:v>
      </x:c>
      <x:c r="L74" s="108" t="str">
        <x:v>installation_role=fixed_furniture</x:v>
      </x:c>
      <x:c r="M74" s="108" t="str">
        <x:v>最终产品安装节点、连接件或现场完成状态</x:v>
      </x:c>
      <x:c r="N74" s="108" t="str">
        <x:v>implemented</x:v>
      </x:c>
      <x:c r="O74" s="108" t="str">
        <x:v>0.99</x:v>
      </x:c>
      <x:c r="P74" s="108" t="str">
        <x:v>no</x:v>
      </x:c>
      <x:c r="Q74" s="108" t="str">
        <x:v>no</x:v>
      </x:c>
      <x:c r="R74" s="108" t="str"/>
      <x:c r="S74" s="108" t="str">
        <x:v>SB01</x:v>
      </x:c>
      <x:c r="T74" s="108" t="str"/>
      <x:c r="U74" s="108" t="str"/>
      <x:c r="V74" s="108" t="str">
        <x:v>furniture-installation-role.csv</x:v>
      </x:c>
      <x:c r="W74" s="108" t="str">
        <x:v>{"selector_kind":"type_name","selector_value":"SB01","installation_role":"fixed_furniture","basis":"类型、VVD 容器与 16 mm 薄板几何共同识别为固定柜体侧板","confidence":"0.99","human_review_required":"no","status":"implemented"}</x:v>
      </x:c>
      <x:c r="X74" s="108" t="str">
        <x:v>由原家具安装角色登记无损迁移</x:v>
      </x:c>
    </x:row>
    <x:row r="75" ht="34" customHeight="1">
      <x:c r="A75" s="108" t="str">
        <x:v>FUR-ROLE-SRC-6a08a071fa9e</x:v>
      </x:c>
      <x:c r="B75" s="108" t="str">
        <x:v>INT1</x:v>
      </x:c>
      <x:c r="C75" s="108" t="str">
        <x:v>INT1/S-701</x:v>
      </x:c>
      <x:c r="D75" s="108" t="str">
        <x:v>SB02 安装角色</x:v>
      </x:c>
      <x:c r="E75" s="108" t="str">
        <x:v>project_ifc_classification</x:v>
      </x:c>
      <x:c r="F75" s="108" t="str">
        <x:v>2504 GBTB Yanlord Zhuhai.ifc</x:v>
      </x:c>
      <x:c r="G75" s="108" t="str"/>
      <x:c r="H75" s="108" t="str">
        <x:v>2504 GBTB Yanlord Zhuhai.ifc</x:v>
      </x:c>
      <x:c r="I75" s="108" t="str">
        <x:v>9a4dac0fceaa4d274c604e59f0c73d187b6db7aaece0a028f51d8d036449df1c</x:v>
      </x:c>
      <x:c r="J75" s="108" t="str">
        <x:v>type_name=SB02</x:v>
      </x:c>
      <x:c r="K75" s="108" t="str">
        <x:v>类型、VVD 容器与 16 mm 薄板几何共同识别为固定柜体侧板</x:v>
      </x:c>
      <x:c r="L75" s="108" t="str">
        <x:v>installation_role=fixed_furniture</x:v>
      </x:c>
      <x:c r="M75" s="108" t="str">
        <x:v>最终产品安装节点、连接件或现场完成状态</x:v>
      </x:c>
      <x:c r="N75" s="108" t="str">
        <x:v>implemented</x:v>
      </x:c>
      <x:c r="O75" s="108" t="str">
        <x:v>0.99</x:v>
      </x:c>
      <x:c r="P75" s="108" t="str">
        <x:v>no</x:v>
      </x:c>
      <x:c r="Q75" s="108" t="str">
        <x:v>no</x:v>
      </x:c>
      <x:c r="R75" s="108" t="str"/>
      <x:c r="S75" s="108" t="str">
        <x:v>SB02</x:v>
      </x:c>
      <x:c r="T75" s="108" t="str"/>
      <x:c r="U75" s="108" t="str"/>
      <x:c r="V75" s="108" t="str">
        <x:v>furniture-installation-role.csv</x:v>
      </x:c>
      <x:c r="W75" s="108" t="str">
        <x:v>{"selector_kind":"type_name","selector_value":"SB02","installation_role":"fixed_furniture","basis":"类型、VVD 容器与 16 mm 薄板几何共同识别为固定柜体侧板","confidence":"0.99","human_review_required":"no","status":"implemented"}</x:v>
      </x:c>
      <x:c r="X75" s="108" t="str">
        <x:v>由原家具安装角色登记无损迁移</x:v>
      </x:c>
    </x:row>
    <x:row r="76" ht="34" customHeight="1">
      <x:c r="A76" s="108" t="str">
        <x:v>FUR-ROLE-SRC-6deab3f093e7</x:v>
      </x:c>
      <x:c r="B76" s="108" t="str">
        <x:v>INT1</x:v>
      </x:c>
      <x:c r="C76" s="108" t="str">
        <x:v>INT1/S-701</x:v>
      </x:c>
      <x:c r="D76" s="108" t="str">
        <x:v>SB03 安装角色</x:v>
      </x:c>
      <x:c r="E76" s="108" t="str">
        <x:v>project_ifc_classification</x:v>
      </x:c>
      <x:c r="F76" s="108" t="str">
        <x:v>2504 GBTB Yanlord Zhuhai.ifc</x:v>
      </x:c>
      <x:c r="G76" s="108" t="str"/>
      <x:c r="H76" s="108" t="str">
        <x:v>2504 GBTB Yanlord Zhuhai.ifc</x:v>
      </x:c>
      <x:c r="I76" s="108" t="str">
        <x:v>9a4dac0fceaa4d274c604e59f0c73d187b6db7aaece0a028f51d8d036449df1c</x:v>
      </x:c>
      <x:c r="J76" s="108" t="str">
        <x:v>type_name=SB03</x:v>
      </x:c>
      <x:c r="K76" s="108" t="str">
        <x:v>用户确认 SB03 为柜子侧板并固定安装</x:v>
      </x:c>
      <x:c r="L76" s="108" t="str">
        <x:v>installation_role=fixed_furniture</x:v>
      </x:c>
      <x:c r="M76" s="108" t="str">
        <x:v>最终产品安装节点、连接件或现场完成状态</x:v>
      </x:c>
      <x:c r="N76" s="108" t="str">
        <x:v>implemented</x:v>
      </x:c>
      <x:c r="O76" s="108" t="str">
        <x:v>1.00</x:v>
      </x:c>
      <x:c r="P76" s="108" t="str">
        <x:v>no</x:v>
      </x:c>
      <x:c r="Q76" s="108" t="str">
        <x:v>no</x:v>
      </x:c>
      <x:c r="R76" s="108" t="str"/>
      <x:c r="S76" s="108" t="str">
        <x:v>SB03</x:v>
      </x:c>
      <x:c r="T76" s="108" t="str"/>
      <x:c r="U76" s="108" t="str"/>
      <x:c r="V76" s="108" t="str">
        <x:v>furniture-installation-role.csv</x:v>
      </x:c>
      <x:c r="W76" s="108" t="str">
        <x:v>{"selector_kind":"type_name","selector_value":"SB03","installation_role":"fixed_furniture","basis":"用户确认 SB03 为柜子侧板并固定安装","confidence":"1.00","human_review_required":"no","status":"implemented"}</x:v>
      </x:c>
      <x:c r="X76" s="108" t="str">
        <x:v>由原家具安装角色登记无损迁移</x:v>
      </x:c>
    </x:row>
    <x:row r="77" ht="34" customHeight="1">
      <x:c r="A77" s="108" t="str">
        <x:v>FUR-ROLE-SRC-d440237eebf7</x:v>
      </x:c>
      <x:c r="B77" s="108" t="str">
        <x:v>INT1</x:v>
      </x:c>
      <x:c r="C77" s="108" t="str">
        <x:v>INT1/S-701</x:v>
      </x:c>
      <x:c r="D77" s="108" t="str">
        <x:v>SHE01 安装角色</x:v>
      </x:c>
      <x:c r="E77" s="108" t="str">
        <x:v>project_ifc_classification</x:v>
      </x:c>
      <x:c r="F77" s="108" t="str">
        <x:v>2504 GBTB Yanlord Zhuhai.ifc</x:v>
      </x:c>
      <x:c r="G77" s="108" t="str"/>
      <x:c r="H77" s="108" t="str">
        <x:v>2504 GBTB Yanlord Zhuhai.ifc</x:v>
      </x:c>
      <x:c r="I77" s="108" t="str">
        <x:v>9a4dac0fceaa4d274c604e59f0c73d187b6db7aaece0a028f51d8d036449df1c</x:v>
      </x:c>
      <x:c r="J77" s="108" t="str">
        <x:v>type_name=SHE01</x:v>
      </x:c>
      <x:c r="K77" s="108" t="str">
        <x:v>IfcFurnitureType.SHELF、LIVING 容器与 203×839×2146 mm 全高层架几何共同证明固定安装</x:v>
      </x:c>
      <x:c r="L77" s="108" t="str">
        <x:v>installation_role=fixed_furniture</x:v>
      </x:c>
      <x:c r="M77" s="108" t="str">
        <x:v>最终产品安装节点、连接件或现场完成状态</x:v>
      </x:c>
      <x:c r="N77" s="108" t="str">
        <x:v>implemented</x:v>
      </x:c>
      <x:c r="O77" s="108" t="str">
        <x:v>0.99</x:v>
      </x:c>
      <x:c r="P77" s="108" t="str">
        <x:v>no</x:v>
      </x:c>
      <x:c r="Q77" s="108" t="str">
        <x:v>no</x:v>
      </x:c>
      <x:c r="R77" s="108" t="str"/>
      <x:c r="S77" s="108" t="str">
        <x:v>SHE01</x:v>
      </x:c>
      <x:c r="T77" s="108" t="str"/>
      <x:c r="U77" s="108" t="str"/>
      <x:c r="V77" s="108" t="str">
        <x:v>furniture-installation-role.csv</x:v>
      </x:c>
      <x:c r="W77" s="108" t="str">
        <x:v>{"selector_kind":"type_name","selector_value":"SHE01","installation_role":"fixed_furniture","basis":"IfcFurnitureType.SHELF、LIVING 容器与 203×839×2146 mm 全高层架几何共同证明固定安装","confidence":"0.99","human_review_required":"no","status":"implemented"}</x:v>
      </x:c>
      <x:c r="X77" s="108" t="str">
        <x:v>由原家具安装角色登记无损迁移</x:v>
      </x:c>
    </x:row>
    <x:row r="78" ht="34" customHeight="1">
      <x:c r="A78" s="108" t="str">
        <x:v>FUR-ROLE-SRC-303704981d05</x:v>
      </x:c>
      <x:c r="B78" s="108" t="str">
        <x:v>INT1</x:v>
      </x:c>
      <x:c r="C78" s="108" t="str">
        <x:v>INT1/S-701</x:v>
      </x:c>
      <x:c r="D78" s="108" t="str">
        <x:v>SIS04 安装角色</x:v>
      </x:c>
      <x:c r="E78" s="108" t="str">
        <x:v>project_ifc_classification</x:v>
      </x:c>
      <x:c r="F78" s="108" t="str">
        <x:v>2504 GBTB Yanlord Zhuhai.ifc</x:v>
      </x:c>
      <x:c r="G78" s="108" t="str"/>
      <x:c r="H78" s="108" t="str">
        <x:v>2504 GBTB Yanlord Zhuhai.ifc</x:v>
      </x:c>
      <x:c r="I78" s="108" t="str">
        <x:v>9a4dac0fceaa4d274c604e59f0c73d187b6db7aaece0a028f51d8d036449df1c</x:v>
      </x:c>
      <x:c r="J78" s="108" t="str">
        <x:v>type_name=SIS04</x:v>
      </x:c>
      <x:c r="K78" s="108" t="str">
        <x:v>类型、KITCHEN 容器与 369×1962×722 mm 高位柜体几何共同证明固定安装</x:v>
      </x:c>
      <x:c r="L78" s="108" t="str">
        <x:v>installation_role=fixed_furniture</x:v>
      </x:c>
      <x:c r="M78" s="108" t="str">
        <x:v>最终产品安装节点、连接件或现场完成状态</x:v>
      </x:c>
      <x:c r="N78" s="108" t="str">
        <x:v>implemented</x:v>
      </x:c>
      <x:c r="O78" s="108" t="str">
        <x:v>0.99</x:v>
      </x:c>
      <x:c r="P78" s="108" t="str">
        <x:v>no</x:v>
      </x:c>
      <x:c r="Q78" s="108" t="str">
        <x:v>no</x:v>
      </x:c>
      <x:c r="R78" s="108" t="str"/>
      <x:c r="S78" s="108" t="str">
        <x:v>SIS04</x:v>
      </x:c>
      <x:c r="T78" s="108" t="str"/>
      <x:c r="U78" s="108" t="str"/>
      <x:c r="V78" s="108" t="str">
        <x:v>furniture-installation-role.csv</x:v>
      </x:c>
      <x:c r="W78" s="108" t="str">
        <x:v>{"selector_kind":"type_name","selector_value":"SIS04","installation_role":"fixed_furniture","basis":"类型、KITCHEN 容器与 369×1962×722 mm 高位柜体几何共同证明固定安装","confidence":"0.99","human_review_required":"no","status":"implemented"}</x:v>
      </x:c>
      <x:c r="X78" s="108" t="str">
        <x:v>由原家具安装角色登记无损迁移</x:v>
      </x:c>
    </x:row>
    <x:row r="79" ht="34" customHeight="1">
      <x:c r="A79" s="108" t="str">
        <x:v>FUR-ROLE-SRC-14ae5ab8677c</x:v>
      </x:c>
      <x:c r="B79" s="108" t="str">
        <x:v>INT1</x:v>
      </x:c>
      <x:c r="C79" s="108" t="str">
        <x:v>INT1/S-701</x:v>
      </x:c>
      <x:c r="D79" s="108" t="str">
        <x:v>SKI03 安装角色</x:v>
      </x:c>
      <x:c r="E79" s="108" t="str">
        <x:v>project_ifc_classification</x:v>
      </x:c>
      <x:c r="F79" s="108" t="str">
        <x:v>2504 GBTB Yanlord Zhuhai.ifc</x:v>
      </x:c>
      <x:c r="G79" s="108" t="str"/>
      <x:c r="H79" s="108" t="str">
        <x:v>2504 GBTB Yanlord Zhuhai.ifc</x:v>
      </x:c>
      <x:c r="I79" s="108" t="str">
        <x:v>9a4dac0fceaa4d274c604e59f0c73d187b6db7aaece0a028f51d8d036449df1c</x:v>
      </x:c>
      <x:c r="J79" s="108" t="str">
        <x:v>type_name=SKI03</x:v>
      </x:c>
      <x:c r="K79" s="108" t="str">
        <x:v>用户确认 SKI03 为柜子踢脚板并固定安装</x:v>
      </x:c>
      <x:c r="L79" s="108" t="str">
        <x:v>installation_role=fixed_furniture</x:v>
      </x:c>
      <x:c r="M79" s="108" t="str">
        <x:v>最终产品安装节点、连接件或现场完成状态</x:v>
      </x:c>
      <x:c r="N79" s="108" t="str">
        <x:v>implemented</x:v>
      </x:c>
      <x:c r="O79" s="108" t="str">
        <x:v>1.00</x:v>
      </x:c>
      <x:c r="P79" s="108" t="str">
        <x:v>no</x:v>
      </x:c>
      <x:c r="Q79" s="108" t="str">
        <x:v>no</x:v>
      </x:c>
      <x:c r="R79" s="108" t="str"/>
      <x:c r="S79" s="108" t="str">
        <x:v>SKI03</x:v>
      </x:c>
      <x:c r="T79" s="108" t="str"/>
      <x:c r="U79" s="108" t="str"/>
      <x:c r="V79" s="108" t="str">
        <x:v>furniture-installation-role.csv</x:v>
      </x:c>
      <x:c r="W79" s="108" t="str">
        <x:v>{"selector_kind":"type_name","selector_value":"SKI03","installation_role":"fixed_furniture","basis":"用户确认 SKI03 为柜子踢脚板并固定安装","confidence":"1.00","human_review_required":"no","status":"implemented"}</x:v>
      </x:c>
      <x:c r="X79" s="108" t="str">
        <x:v>由原家具安装角色登记无损迁移</x:v>
      </x:c>
    </x:row>
    <x:row r="80" ht="34" customHeight="1">
      <x:c r="A80" s="108" t="str">
        <x:v>FUR-ROLE-SRC-90aa3e70bc89</x:v>
      </x:c>
      <x:c r="B80" s="108" t="str">
        <x:v>INT1</x:v>
      </x:c>
      <x:c r="C80" s="108" t="str">
        <x:v>INT1/S-701</x:v>
      </x:c>
      <x:c r="D80" s="108" t="str">
        <x:v>SKI04 安装角色</x:v>
      </x:c>
      <x:c r="E80" s="108" t="str">
        <x:v>project_ifc_classification</x:v>
      </x:c>
      <x:c r="F80" s="108" t="str">
        <x:v>2504 GBTB Yanlord Zhuhai.ifc</x:v>
      </x:c>
      <x:c r="G80" s="108" t="str"/>
      <x:c r="H80" s="108" t="str">
        <x:v>2504 GBTB Yanlord Zhuhai.ifc</x:v>
      </x:c>
      <x:c r="I80" s="108" t="str">
        <x:v>9a4dac0fceaa4d274c604e59f0c73d187b6db7aaece0a028f51d8d036449df1c</x:v>
      </x:c>
      <x:c r="J80" s="108" t="str">
        <x:v>type_name=SKI04</x:v>
      </x:c>
      <x:c r="K80" s="108" t="str">
        <x:v>与已确认 SKI03 同系列且具有 2400×16×60 mm 踢脚板几何</x:v>
      </x:c>
      <x:c r="L80" s="108" t="str">
        <x:v>installation_role=fixed_furniture</x:v>
      </x:c>
      <x:c r="M80" s="108" t="str">
        <x:v>最终产品安装节点、连接件或现场完成状态</x:v>
      </x:c>
      <x:c r="N80" s="108" t="str">
        <x:v>implemented</x:v>
      </x:c>
      <x:c r="O80" s="108" t="str">
        <x:v>0.99</x:v>
      </x:c>
      <x:c r="P80" s="108" t="str">
        <x:v>no</x:v>
      </x:c>
      <x:c r="Q80" s="108" t="str">
        <x:v>no</x:v>
      </x:c>
      <x:c r="R80" s="108" t="str"/>
      <x:c r="S80" s="108" t="str">
        <x:v>SKI04</x:v>
      </x:c>
      <x:c r="T80" s="108" t="str"/>
      <x:c r="U80" s="108" t="str"/>
      <x:c r="V80" s="108" t="str">
        <x:v>furniture-installation-role.csv</x:v>
      </x:c>
      <x:c r="W80" s="108" t="str">
        <x:v>{"selector_kind":"type_name","selector_value":"SKI04","installation_role":"fixed_furniture","basis":"与已确认 SKI03 同系列且具有 2400×16×60 mm 踢脚板几何","confidence":"0.99","human_review_required":"no","status":"implemented"}</x:v>
      </x:c>
      <x:c r="X80" s="108" t="str">
        <x:v>由原家具安装角色登记无损迁移</x:v>
      </x:c>
    </x:row>
    <x:row r="81" ht="34" customHeight="1">
      <x:c r="A81" s="108" t="str">
        <x:v>FUR-ROLE-SRC-81e2a3340e3c</x:v>
      </x:c>
      <x:c r="B81" s="108" t="str">
        <x:v>INT1</x:v>
      </x:c>
      <x:c r="C81" s="108" t="str">
        <x:v>INT1/S-701</x:v>
      </x:c>
      <x:c r="D81" s="108" t="str">
        <x:v>W06L 安装角色</x:v>
      </x:c>
      <x:c r="E81" s="108" t="str">
        <x:v>project_ifc_classification</x:v>
      </x:c>
      <x:c r="F81" s="108" t="str">
        <x:v>2504 GBTB Yanlord Zhuhai.ifc</x:v>
      </x:c>
      <x:c r="G81" s="108" t="str"/>
      <x:c r="H81" s="108" t="str">
        <x:v>2504 GBTB Yanlord Zhuhai.ifc</x:v>
      </x:c>
      <x:c r="I81" s="108" t="str">
        <x:v>9a4dac0fceaa4d274c604e59f0c73d187b6db7aaece0a028f51d8d036449df1c</x:v>
      </x:c>
      <x:c r="J81" s="108" t="str">
        <x:v>type_name=W06L</x:v>
      </x:c>
      <x:c r="K81" s="108" t="str">
        <x:v>类型、KITCHEN 容器与 1100×750×60 mm 薄板几何共同识别为固定柜体板件</x:v>
      </x:c>
      <x:c r="L81" s="108" t="str">
        <x:v>installation_role=fixed_furniture</x:v>
      </x:c>
      <x:c r="M81" s="108" t="str">
        <x:v>最终产品安装节点、连接件或现场完成状态</x:v>
      </x:c>
      <x:c r="N81" s="108" t="str">
        <x:v>implemented</x:v>
      </x:c>
      <x:c r="O81" s="108" t="str">
        <x:v>0.99</x:v>
      </x:c>
      <x:c r="P81" s="108" t="str">
        <x:v>no</x:v>
      </x:c>
      <x:c r="Q81" s="108" t="str">
        <x:v>no</x:v>
      </x:c>
      <x:c r="R81" s="108" t="str"/>
      <x:c r="S81" s="108" t="str">
        <x:v>W06L</x:v>
      </x:c>
      <x:c r="T81" s="108" t="str"/>
      <x:c r="U81" s="108" t="str"/>
      <x:c r="V81" s="108" t="str">
        <x:v>furniture-installation-role.csv</x:v>
      </x:c>
      <x:c r="W81" s="108" t="str">
        <x:v>{"selector_kind":"type_name","selector_value":"W06L","installation_role":"fixed_furniture","basis":"类型、KITCHEN 容器与 1100×750×60 mm 薄板几何共同识别为固定柜体板件","confidence":"0.99","human_review_required":"no","status":"implemented"}</x:v>
      </x:c>
      <x:c r="X81" s="108" t="str">
        <x:v>由原家具安装角色登记无损迁移</x:v>
      </x:c>
    </x:row>
    <x:row r="82" ht="34" customHeight="1">
      <x:c r="A82" s="108" t="str">
        <x:v>FUR-ROLE-SRC-f38485b1b36b</x:v>
      </x:c>
      <x:c r="B82" s="108" t="str">
        <x:v>INT1</x:v>
      </x:c>
      <x:c r="C82" s="108" t="str">
        <x:v>INT1/S-701</x:v>
      </x:c>
      <x:c r="D82" s="108" t="str">
        <x:v>WD01 安装角色</x:v>
      </x:c>
      <x:c r="E82" s="108" t="str">
        <x:v>project_ifc_classification</x:v>
      </x:c>
      <x:c r="F82" s="108" t="str">
        <x:v>2504 GBTB Yanlord Zhuhai.ifc</x:v>
      </x:c>
      <x:c r="G82" s="108" t="str"/>
      <x:c r="H82" s="108" t="str">
        <x:v>2504 GBTB Yanlord Zhuhai.ifc</x:v>
      </x:c>
      <x:c r="I82" s="108" t="str">
        <x:v>9a4dac0fceaa4d274c604e59f0c73d187b6db7aaece0a028f51d8d036449df1c</x:v>
      </x:c>
      <x:c r="J82" s="108" t="str">
        <x:v>type_name=WD01</x:v>
      </x:c>
      <x:c r="K82" s="108" t="str">
        <x:v>类型、BEDM 容器与 674×1203×2390 mm 全高几何共同识别为固定衣柜单元</x:v>
      </x:c>
      <x:c r="L82" s="108" t="str">
        <x:v>installation_role=fixed_furniture</x:v>
      </x:c>
      <x:c r="M82" s="108" t="str">
        <x:v>最终产品安装节点、连接件或现场完成状态</x:v>
      </x:c>
      <x:c r="N82" s="108" t="str">
        <x:v>implemented</x:v>
      </x:c>
      <x:c r="O82" s="108" t="str">
        <x:v>0.99</x:v>
      </x:c>
      <x:c r="P82" s="108" t="str">
        <x:v>no</x:v>
      </x:c>
      <x:c r="Q82" s="108" t="str">
        <x:v>no</x:v>
      </x:c>
      <x:c r="R82" s="108" t="str"/>
      <x:c r="S82" s="108" t="str">
        <x:v>WD01</x:v>
      </x:c>
      <x:c r="T82" s="108" t="str"/>
      <x:c r="U82" s="108" t="str"/>
      <x:c r="V82" s="108" t="str">
        <x:v>furniture-installation-role.csv</x:v>
      </x:c>
      <x:c r="W82" s="108" t="str">
        <x:v>{"selector_kind":"type_name","selector_value":"WD01","installation_role":"fixed_furniture","basis":"类型、BEDM 容器与 674×1203×2390 mm 全高几何共同识别为固定衣柜单元","confidence":"0.99","human_review_required":"no","status":"implemented"}</x:v>
      </x:c>
      <x:c r="X82" s="108" t="str">
        <x:v>由原家具安装角色登记无损迁移</x:v>
      </x:c>
    </x:row>
    <x:row r="83" ht="34" customHeight="1">
      <x:c r="A83" s="108" t="str">
        <x:v>FUR-ROLE-SRC-aea62f5752cb</x:v>
      </x:c>
      <x:c r="B83" s="108" t="str">
        <x:v>INT1</x:v>
      </x:c>
      <x:c r="C83" s="108" t="str">
        <x:v>INT1/S-701</x:v>
      </x:c>
      <x:c r="D83" s="108" t="str">
        <x:v>WD01L 安装角色</x:v>
      </x:c>
      <x:c r="E83" s="108" t="str">
        <x:v>project_ifc_classification</x:v>
      </x:c>
      <x:c r="F83" s="108" t="str">
        <x:v>2504 GBTB Yanlord Zhuhai.ifc</x:v>
      </x:c>
      <x:c r="G83" s="108" t="str"/>
      <x:c r="H83" s="108" t="str">
        <x:v>2504 GBTB Yanlord Zhuhai.ifc</x:v>
      </x:c>
      <x:c r="I83" s="108" t="str">
        <x:v>9a4dac0fceaa4d274c604e59f0c73d187b6db7aaece0a028f51d8d036449df1c</x:v>
      </x:c>
      <x:c r="J83" s="108" t="str">
        <x:v>type_name=WD01L</x:v>
      </x:c>
      <x:c r="K83" s="108" t="str">
        <x:v>类型、BEDM 容器与 674×603×2390 mm 全高几何共同识别为固定衣柜单元</x:v>
      </x:c>
      <x:c r="L83" s="108" t="str">
        <x:v>installation_role=fixed_furniture</x:v>
      </x:c>
      <x:c r="M83" s="108" t="str">
        <x:v>最终产品安装节点、连接件或现场完成状态</x:v>
      </x:c>
      <x:c r="N83" s="108" t="str">
        <x:v>implemented</x:v>
      </x:c>
      <x:c r="O83" s="108" t="str">
        <x:v>0.99</x:v>
      </x:c>
      <x:c r="P83" s="108" t="str">
        <x:v>no</x:v>
      </x:c>
      <x:c r="Q83" s="108" t="str">
        <x:v>no</x:v>
      </x:c>
      <x:c r="R83" s="108" t="str"/>
      <x:c r="S83" s="108" t="str">
        <x:v>WD01L</x:v>
      </x:c>
      <x:c r="T83" s="108" t="str"/>
      <x:c r="U83" s="108" t="str"/>
      <x:c r="V83" s="108" t="str">
        <x:v>furniture-installation-role.csv</x:v>
      </x:c>
      <x:c r="W83" s="108" t="str">
        <x:v>{"selector_kind":"type_name","selector_value":"WD01L","installation_role":"fixed_furniture","basis":"类型、BEDM 容器与 674×603×2390 mm 全高几何共同识别为固定衣柜单元","confidence":"0.99","human_review_required":"no","status":"implemented"}</x:v>
      </x:c>
      <x:c r="X83" s="108" t="str">
        <x:v>由原家具安装角色登记无损迁移</x:v>
      </x:c>
    </x:row>
    <x:row r="84" ht="34" customHeight="1">
      <x:c r="A84" s="108" t="str">
        <x:v>FUR-ROLE-SRC-a5ac9900ee5a</x:v>
      </x:c>
      <x:c r="B84" s="108" t="str">
        <x:v>INT1</x:v>
      </x:c>
      <x:c r="C84" s="108" t="str">
        <x:v>INT1/S-701</x:v>
      </x:c>
      <x:c r="D84" s="108" t="str">
        <x:v>WD02 安装角色</x:v>
      </x:c>
      <x:c r="E84" s="108" t="str">
        <x:v>project_ifc_classification</x:v>
      </x:c>
      <x:c r="F84" s="108" t="str">
        <x:v>2504 GBTB Yanlord Zhuhai.ifc</x:v>
      </x:c>
      <x:c r="G84" s="108" t="str"/>
      <x:c r="H84" s="108" t="str">
        <x:v>2504 GBTB Yanlord Zhuhai.ifc</x:v>
      </x:c>
      <x:c r="I84" s="108" t="str">
        <x:v>9a4dac0fceaa4d274c604e59f0c73d187b6db7aaece0a028f51d8d036449df1c</x:v>
      </x:c>
      <x:c r="J84" s="108" t="str">
        <x:v>type_name=WD02</x:v>
      </x:c>
      <x:c r="K84" s="108" t="str">
        <x:v>类型、LIVING 容器与 628×600×2393 mm 全高几何共同识别为固定柜体单元</x:v>
      </x:c>
      <x:c r="L84" s="108" t="str">
        <x:v>installation_role=fixed_furniture</x:v>
      </x:c>
      <x:c r="M84" s="108" t="str">
        <x:v>最终产品安装节点、连接件或现场完成状态</x:v>
      </x:c>
      <x:c r="N84" s="108" t="str">
        <x:v>implemented</x:v>
      </x:c>
      <x:c r="O84" s="108" t="str">
        <x:v>0.99</x:v>
      </x:c>
      <x:c r="P84" s="108" t="str">
        <x:v>no</x:v>
      </x:c>
      <x:c r="Q84" s="108" t="str">
        <x:v>no</x:v>
      </x:c>
      <x:c r="R84" s="108" t="str"/>
      <x:c r="S84" s="108" t="str">
        <x:v>WD02</x:v>
      </x:c>
      <x:c r="T84" s="108" t="str"/>
      <x:c r="U84" s="108" t="str"/>
      <x:c r="V84" s="108" t="str">
        <x:v>furniture-installation-role.csv</x:v>
      </x:c>
      <x:c r="W84" s="108" t="str">
        <x:v>{"selector_kind":"type_name","selector_value":"WD02","installation_role":"fixed_furniture","basis":"类型、LIVING 容器与 628×600×2393 mm 全高几何共同识别为固定柜体单元","confidence":"0.99","human_review_required":"no","status":"implemented"}</x:v>
      </x:c>
      <x:c r="X84" s="108" t="str">
        <x:v>由原家具安装角色登记无损迁移</x:v>
      </x:c>
    </x:row>
    <x:row r="85" ht="34" customHeight="1">
      <x:c r="A85" s="108" t="str">
        <x:v>FUR-ROLE-SRC-29240b0b53cb</x:v>
      </x:c>
      <x:c r="B85" s="108" t="str">
        <x:v>INT1</x:v>
      </x:c>
      <x:c r="C85" s="108" t="str">
        <x:v>INT1/S-701</x:v>
      </x:c>
      <x:c r="D85" s="108" t="str">
        <x:v>WD03 安装角色</x:v>
      </x:c>
      <x:c r="E85" s="108" t="str">
        <x:v>project_ifc_classification</x:v>
      </x:c>
      <x:c r="F85" s="108" t="str">
        <x:v>2504 GBTB Yanlord Zhuhai.ifc</x:v>
      </x:c>
      <x:c r="G85" s="108" t="str"/>
      <x:c r="H85" s="108" t="str">
        <x:v>2504 GBTB Yanlord Zhuhai.ifc</x:v>
      </x:c>
      <x:c r="I85" s="108" t="str">
        <x:v>9a4dac0fceaa4d274c604e59f0c73d187b6db7aaece0a028f51d8d036449df1c</x:v>
      </x:c>
      <x:c r="J85" s="108" t="str">
        <x:v>type_name=WD03</x:v>
      </x:c>
      <x:c r="K85" s="108" t="str">
        <x:v>类型、BEDG 容器与 1313×586×2390 mm 全高几何共同识别为固定衣柜单元</x:v>
      </x:c>
      <x:c r="L85" s="108" t="str">
        <x:v>installation_role=fixed_furniture</x:v>
      </x:c>
      <x:c r="M85" s="108" t="str">
        <x:v>最终产品安装节点、连接件或现场完成状态</x:v>
      </x:c>
      <x:c r="N85" s="108" t="str">
        <x:v>implemented</x:v>
      </x:c>
      <x:c r="O85" s="108" t="str">
        <x:v>0.99</x:v>
      </x:c>
      <x:c r="P85" s="108" t="str">
        <x:v>no</x:v>
      </x:c>
      <x:c r="Q85" s="108" t="str">
        <x:v>no</x:v>
      </x:c>
      <x:c r="R85" s="108" t="str"/>
      <x:c r="S85" s="108" t="str">
        <x:v>WD03</x:v>
      </x:c>
      <x:c r="T85" s="108" t="str"/>
      <x:c r="U85" s="108" t="str"/>
      <x:c r="V85" s="108" t="str">
        <x:v>furniture-installation-role.csv</x:v>
      </x:c>
      <x:c r="W85" s="108" t="str">
        <x:v>{"selector_kind":"type_name","selector_value":"WD03","installation_role":"fixed_furniture","basis":"类型、BEDG 容器与 1313×586×2390 mm 全高几何共同识别为固定衣柜单元","confidence":"0.99","human_review_required":"no","status":"implemented"}</x:v>
      </x:c>
      <x:c r="X85" s="108" t="str">
        <x:v>由原家具安装角色登记无损迁移</x:v>
      </x:c>
    </x:row>
    <x:row r="86" ht="34" customHeight="1">
      <x:c r="A86" s="108" t="str">
        <x:v>FUR-ROLE-SRC-dba93f7d76bf</x:v>
      </x:c>
      <x:c r="B86" s="108" t="str">
        <x:v>INT1</x:v>
      </x:c>
      <x:c r="C86" s="108" t="str">
        <x:v>INT1/S-701</x:v>
      </x:c>
      <x:c r="D86" s="108" t="str">
        <x:v>BST01 安装角色</x:v>
      </x:c>
      <x:c r="E86" s="108" t="str">
        <x:v>project_ifc_classification</x:v>
      </x:c>
      <x:c r="F86" s="108" t="str">
        <x:v>2504 GBTB Yanlord Zhuhai.ifc</x:v>
      </x:c>
      <x:c r="G86" s="108" t="str"/>
      <x:c r="H86" s="108" t="str">
        <x:v>2504 GBTB Yanlord Zhuhai.ifc</x:v>
      </x:c>
      <x:c r="I86" s="108" t="str">
        <x:v>9a4dac0fceaa4d274c604e59f0c73d187b6db7aaece0a028f51d8d036449df1c</x:v>
      </x:c>
      <x:c r="J86" s="108" t="str">
        <x:v>type_name=BST01</x:v>
      </x:c>
      <x:c r="K86" s="108" t="str">
        <x:v>类型、BEDM 容器与 399×399×450 mm 几何共同识别为活动床头柜</x:v>
      </x:c>
      <x:c r="L86" s="108" t="str">
        <x:v>installation_role=loose_furniture</x:v>
      </x:c>
      <x:c r="M86" s="108" t="str">
        <x:v>最终产品安装节点、连接件或现场完成状态</x:v>
      </x:c>
      <x:c r="N86" s="108" t="str">
        <x:v>implemented</x:v>
      </x:c>
      <x:c r="O86" s="108" t="str">
        <x:v>0.99</x:v>
      </x:c>
      <x:c r="P86" s="108" t="str">
        <x:v>no</x:v>
      </x:c>
      <x:c r="Q86" s="108" t="str">
        <x:v>no</x:v>
      </x:c>
      <x:c r="R86" s="108" t="str"/>
      <x:c r="S86" s="108" t="str">
        <x:v>BST01</x:v>
      </x:c>
      <x:c r="T86" s="108" t="str"/>
      <x:c r="U86" s="108" t="str"/>
      <x:c r="V86" s="108" t="str">
        <x:v>furniture-installation-role.csv</x:v>
      </x:c>
      <x:c r="W86" s="108" t="str">
        <x:v>{"selector_kind":"type_name","selector_value":"BST01","installation_role":"loose_furniture","basis":"类型、BEDM 容器与 399×399×450 mm 几何共同识别为活动床头柜","confidence":"0.99","human_review_required":"no","status":"implemented"}</x:v>
      </x:c>
      <x:c r="X86" s="108" t="str">
        <x:v>由原家具安装角色登记无损迁移</x:v>
      </x:c>
    </x:row>
    <x:row r="87" ht="34" customHeight="1">
      <x:c r="A87" s="108" t="str">
        <x:v>FUR-ROLE-SRC-53bbe15616e1</x:v>
      </x:c>
      <x:c r="B87" s="108" t="str">
        <x:v>INT1</x:v>
      </x:c>
      <x:c r="C87" s="108" t="str">
        <x:v>INT1/S-701</x:v>
      </x:c>
      <x:c r="D87" s="108" t="str">
        <x:v>BST02 安装角色</x:v>
      </x:c>
      <x:c r="E87" s="108" t="str">
        <x:v>project_ifc_classification</x:v>
      </x:c>
      <x:c r="F87" s="108" t="str">
        <x:v>2504 GBTB Yanlord Zhuhai.ifc</x:v>
      </x:c>
      <x:c r="G87" s="108" t="str"/>
      <x:c r="H87" s="108" t="str">
        <x:v>2504 GBTB Yanlord Zhuhai.ifc</x:v>
      </x:c>
      <x:c r="I87" s="108" t="str">
        <x:v>9a4dac0fceaa4d274c604e59f0c73d187b6db7aaece0a028f51d8d036449df1c</x:v>
      </x:c>
      <x:c r="J87" s="108" t="str">
        <x:v>type_name=BST02</x:v>
      </x:c>
      <x:c r="K87" s="108" t="str">
        <x:v>类型、BEDM 容器与 578×560×250 mm 几何共同识别为活动床头柜</x:v>
      </x:c>
      <x:c r="L87" s="108" t="str">
        <x:v>installation_role=loose_furniture</x:v>
      </x:c>
      <x:c r="M87" s="108" t="str">
        <x:v>最终产品安装节点、连接件或现场完成状态</x:v>
      </x:c>
      <x:c r="N87" s="108" t="str">
        <x:v>implemented</x:v>
      </x:c>
      <x:c r="O87" s="108" t="str">
        <x:v>0.99</x:v>
      </x:c>
      <x:c r="P87" s="108" t="str">
        <x:v>no</x:v>
      </x:c>
      <x:c r="Q87" s="108" t="str">
        <x:v>no</x:v>
      </x:c>
      <x:c r="R87" s="108" t="str"/>
      <x:c r="S87" s="108" t="str">
        <x:v>BST02</x:v>
      </x:c>
      <x:c r="T87" s="108" t="str"/>
      <x:c r="U87" s="108" t="str"/>
      <x:c r="V87" s="108" t="str">
        <x:v>furniture-installation-role.csv</x:v>
      </x:c>
      <x:c r="W87" s="108" t="str">
        <x:v>{"selector_kind":"type_name","selector_value":"BST02","installation_role":"loose_furniture","basis":"类型、BEDM 容器与 578×560×250 mm 几何共同识别为活动床头柜","confidence":"0.99","human_review_required":"no","status":"implemented"}</x:v>
      </x:c>
      <x:c r="X87" s="108" t="str">
        <x:v>由原家具安装角色登记无损迁移</x:v>
      </x:c>
    </x:row>
    <x:row r="88" ht="34" customHeight="1">
      <x:c r="A88" s="108" t="str">
        <x:v>FUR-ROLE-SRC-8b2b41684309</x:v>
      </x:c>
      <x:c r="B88" s="108" t="str">
        <x:v>INT1</x:v>
      </x:c>
      <x:c r="C88" s="108" t="str">
        <x:v>INT1/S-701</x:v>
      </x:c>
      <x:c r="D88" s="108" t="str">
        <x:v>BST03 安装角色</x:v>
      </x:c>
      <x:c r="E88" s="108" t="str">
        <x:v>project_ifc_classification</x:v>
      </x:c>
      <x:c r="F88" s="108" t="str">
        <x:v>2504 GBTB Yanlord Zhuhai.ifc</x:v>
      </x:c>
      <x:c r="G88" s="108" t="str"/>
      <x:c r="H88" s="108" t="str">
        <x:v>2504 GBTB Yanlord Zhuhai.ifc</x:v>
      </x:c>
      <x:c r="I88" s="108" t="str">
        <x:v>9a4dac0fceaa4d274c604e59f0c73d187b6db7aaece0a028f51d8d036449df1c</x:v>
      </x:c>
      <x:c r="J88" s="108" t="str">
        <x:v>type_name=BST03</x:v>
      </x:c>
      <x:c r="K88" s="108" t="str">
        <x:v>类型、BEDG 容器与 462×462×466 mm 几何共同识别为活动床头柜</x:v>
      </x:c>
      <x:c r="L88" s="108" t="str">
        <x:v>installation_role=loose_furniture</x:v>
      </x:c>
      <x:c r="M88" s="108" t="str">
        <x:v>最终产品安装节点、连接件或现场完成状态</x:v>
      </x:c>
      <x:c r="N88" s="108" t="str">
        <x:v>implemented</x:v>
      </x:c>
      <x:c r="O88" s="108" t="str">
        <x:v>0.99</x:v>
      </x:c>
      <x:c r="P88" s="108" t="str">
        <x:v>no</x:v>
      </x:c>
      <x:c r="Q88" s="108" t="str">
        <x:v>no</x:v>
      </x:c>
      <x:c r="R88" s="108" t="str"/>
      <x:c r="S88" s="108" t="str">
        <x:v>BST03</x:v>
      </x:c>
      <x:c r="T88" s="108" t="str"/>
      <x:c r="U88" s="108" t="str"/>
      <x:c r="V88" s="108" t="str">
        <x:v>furniture-installation-role.csv</x:v>
      </x:c>
      <x:c r="W88" s="108" t="str">
        <x:v>{"selector_kind":"type_name","selector_value":"BST03","installation_role":"loose_furniture","basis":"类型、BEDG 容器与 462×462×466 mm 几何共同识别为活动床头柜","confidence":"0.99","human_review_required":"no","status":"implemented"}</x:v>
      </x:c>
      <x:c r="X88" s="108" t="str">
        <x:v>由原家具安装角色登记无损迁移</x:v>
      </x:c>
    </x:row>
    <x:row r="89" ht="34" customHeight="1">
      <x:c r="A89" s="108" t="str">
        <x:v>FUR-ROLE-SRC-2e0c7dfb150a</x:v>
      </x:c>
      <x:c r="B89" s="108" t="str">
        <x:v>INT1</x:v>
      </x:c>
      <x:c r="C89" s="108" t="str">
        <x:v>INT1/S-701</x:v>
      </x:c>
      <x:c r="D89" s="108" t="str">
        <x:v>19MpdkWqXC7uhUNhLQgrce 安装角色</x:v>
      </x:c>
      <x:c r="E89" s="108" t="str">
        <x:v>project_ifc_classification</x:v>
      </x:c>
      <x:c r="F89" s="108" t="str">
        <x:v>2504 GBTB Yanlord Zhuhai.ifc</x:v>
      </x:c>
      <x:c r="G89" s="108" t="str"/>
      <x:c r="H89" s="108" t="str">
        <x:v>2504 GBTB Yanlord Zhuhai.ifc</x:v>
      </x:c>
      <x:c r="I89" s="108" t="str">
        <x:v>9a4dac0fceaa4d274c604e59f0c73d187b6db7aaece0a028f51d8d036449df1c</x:v>
      </x:c>
      <x:c r="J89" s="108" t="str">
        <x:v>global_id=19MpdkWqXC7uhUNhLQgrce</x:v>
      </x:c>
      <x:c r="K89" s="108" t="str">
        <x:v>对象名 505 UP V1.LP.S、LIVING 容器与 2912×436×2380 mm 全高柜体几何共同证明固定安装</x:v>
      </x:c>
      <x:c r="L89" s="108" t="str">
        <x:v>installation_role=fixed_furniture</x:v>
      </x:c>
      <x:c r="M89" s="108" t="str">
        <x:v>最终产品安装节点、连接件或现场完成状态</x:v>
      </x:c>
      <x:c r="N89" s="108" t="str">
        <x:v>implemented</x:v>
      </x:c>
      <x:c r="O89" s="108" t="str">
        <x:v>0.99</x:v>
      </x:c>
      <x:c r="P89" s="108" t="str">
        <x:v>no</x:v>
      </x:c>
      <x:c r="Q89" s="108" t="str">
        <x:v>no</x:v>
      </x:c>
      <x:c r="R89" s="108" t="str"/>
      <x:c r="S89" s="108" t="str">
        <x:v>19MpdkWqXC7uhUNhLQgrce</x:v>
      </x:c>
      <x:c r="T89" s="108" t="str"/>
      <x:c r="U89" s="108" t="str"/>
      <x:c r="V89" s="108" t="str">
        <x:v>furniture-installation-role.csv</x:v>
      </x:c>
      <x:c r="W89" s="108" t="str">
        <x:v>{"selector_kind":"global_id","selector_value":"19MpdkWqXC7uhUNhLQgrce","installation_role":"fixed_furniture","basis":"对象名 505 UP V1.LP.S、LIVING 容器与 2912×436×2380 mm 全高柜体几何共同证明固定安装","confidence":"0.99","human_review_required":"no","status":"implemented"}</x:v>
      </x:c>
      <x:c r="X89" s="108" t="str">
        <x:v>由原家具安装角色登记无损迁移</x:v>
      </x:c>
    </x:row>
    <x:row r="90" ht="34" customHeight="1">
      <x:c r="A90" s="108" t="str">
        <x:v>FUR-ROLE-SRC-34648f4c3ff7</x:v>
      </x:c>
      <x:c r="B90" s="108" t="str">
        <x:v>INT1</x:v>
      </x:c>
      <x:c r="C90" s="108" t="str">
        <x:v>INT1/S-701</x:v>
      </x:c>
      <x:c r="D90" s="108" t="str">
        <x:v>1W$zPXJs93UfXs41zQw4oi 安装角色</x:v>
      </x:c>
      <x:c r="E90" s="108" t="str">
        <x:v>project_ifc_classification</x:v>
      </x:c>
      <x:c r="F90" s="108" t="str">
        <x:v>2504 GBTB Yanlord Zhuhai.ifc</x:v>
      </x:c>
      <x:c r="G90" s="108" t="str"/>
      <x:c r="H90" s="108" t="str">
        <x:v>2504 GBTB Yanlord Zhuhai.ifc</x:v>
      </x:c>
      <x:c r="I90" s="108" t="str">
        <x:v>9a4dac0fceaa4d274c604e59f0c73d187b6db7aaece0a028f51d8d036449df1c</x:v>
      </x:c>
      <x:c r="J90" s="108" t="str">
        <x:v>global_id=1W$zPXJs93UfXs41zQw4oi</x:v>
      </x:c>
      <x:c r="K90" s="108" t="str">
        <x:v>对象名 VVD Island worktop board 明确为岛台固定台面板</x:v>
      </x:c>
      <x:c r="L90" s="108" t="str">
        <x:v>installation_role=fixed_furniture</x:v>
      </x:c>
      <x:c r="M90" s="108" t="str">
        <x:v>最终产品安装节点、连接件或现场完成状态</x:v>
      </x:c>
      <x:c r="N90" s="108" t="str">
        <x:v>implemented</x:v>
      </x:c>
      <x:c r="O90" s="108" t="str">
        <x:v>1.00</x:v>
      </x:c>
      <x:c r="P90" s="108" t="str">
        <x:v>no</x:v>
      </x:c>
      <x:c r="Q90" s="108" t="str">
        <x:v>no</x:v>
      </x:c>
      <x:c r="R90" s="108" t="str"/>
      <x:c r="S90" s="108" t="str">
        <x:v>1W$zPXJs93UfXs41zQw4oi</x:v>
      </x:c>
      <x:c r="T90" s="108" t="str"/>
      <x:c r="U90" s="108" t="str"/>
      <x:c r="V90" s="108" t="str">
        <x:v>furniture-installation-role.csv</x:v>
      </x:c>
      <x:c r="W90" s="108" t="str">
        <x:v>{"selector_kind":"global_id","selector_value":"1W$zPXJs93UfXs41zQw4oi","installation_role":"fixed_furniture","basis":"对象名 VVD Island worktop board 明确为岛台固定台面板","confidence":"1.00","human_review_required":"no","status":"implemented"}</x:v>
      </x:c>
      <x:c r="X90" s="108" t="str">
        <x:v>由原家具安装角色登记无损迁移</x:v>
      </x:c>
    </x:row>
    <x:row r="91" ht="34" customHeight="1">
      <x:c r="A91" s="108" t="str">
        <x:v>FUR-ROLE-SRC-2a7cfd77b897</x:v>
      </x:c>
      <x:c r="B91" s="108" t="str">
        <x:v>INT1</x:v>
      </x:c>
      <x:c r="C91" s="108" t="str">
        <x:v>INT1/S-701</x:v>
      </x:c>
      <x:c r="D91" s="108" t="str">
        <x:v>34ibuNihL8HQ7qG1pk9Bvn 安装角色</x:v>
      </x:c>
      <x:c r="E91" s="108" t="str">
        <x:v>project_ifc_classification</x:v>
      </x:c>
      <x:c r="F91" s="108" t="str">
        <x:v>2504 GBTB Yanlord Zhuhai.ifc</x:v>
      </x:c>
      <x:c r="G91" s="108" t="str"/>
      <x:c r="H91" s="108" t="str">
        <x:v>2504 GBTB Yanlord Zhuhai.ifc</x:v>
      </x:c>
      <x:c r="I91" s="108" t="str">
        <x:v>9a4dac0fceaa4d274c604e59f0c73d187b6db7aaece0a028f51d8d036449df1c</x:v>
      </x:c>
      <x:c r="J91" s="108" t="str">
        <x:v>global_id=34ibuNihL8HQ7qG1pk9Bvn</x:v>
      </x:c>
      <x:c r="K91" s="108" t="str">
        <x:v>对象名 VVD Island Inner Sideboard 明确为岛台固定侧板</x:v>
      </x:c>
      <x:c r="L91" s="108" t="str">
        <x:v>installation_role=fixed_furniture</x:v>
      </x:c>
      <x:c r="M91" s="108" t="str">
        <x:v>最终产品安装节点、连接件或现场完成状态</x:v>
      </x:c>
      <x:c r="N91" s="108" t="str">
        <x:v>implemented</x:v>
      </x:c>
      <x:c r="O91" s="108" t="str">
        <x:v>1.00</x:v>
      </x:c>
      <x:c r="P91" s="108" t="str">
        <x:v>no</x:v>
      </x:c>
      <x:c r="Q91" s="108" t="str">
        <x:v>no</x:v>
      </x:c>
      <x:c r="R91" s="108" t="str"/>
      <x:c r="S91" s="108" t="str">
        <x:v>34ibuNihL8HQ7qG1pk9Bvn</x:v>
      </x:c>
      <x:c r="T91" s="108" t="str"/>
      <x:c r="U91" s="108" t="str"/>
      <x:c r="V91" s="108" t="str">
        <x:v>furniture-installation-role.csv</x:v>
      </x:c>
      <x:c r="W91" s="108" t="str">
        <x:v>{"selector_kind":"global_id","selector_value":"34ibuNihL8HQ7qG1pk9Bvn","installation_role":"fixed_furniture","basis":"对象名 VVD Island Inner Sideboard 明确为岛台固定侧板","confidence":"1.00","human_review_required":"no","status":"implemented"}</x:v>
      </x:c>
      <x:c r="X91" s="108" t="str">
        <x:v>由原家具安装角色登记无损迁移</x:v>
      </x:c>
    </x:row>
  </x:sheetData>
  <x:mergeCells>
    <x:mergeCell ref="A1:X1"/>
  </x:mergeCells>
  <x:pageMargins left="0.7" right="0.7" top="0.75" bottom="0.75" header="0.3" footer="0.3"/>
  <x:tableParts count="1">
    <x:tablePart xmlns:r="http://schemas.openxmlformats.org/officeDocument/2006/relationships" r:id="Rcaf65b1b3e5742d3"/>
  </x:tableParts>
</x:worksheet>
</file>